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g/p/liturgiestatistiek/import/"/>
    </mc:Choice>
  </mc:AlternateContent>
  <xr:revisionPtr revIDLastSave="0" documentId="8_{CB007D50-50E5-9644-BFD0-32DBFF14A274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2025 registratie" sheetId="1" r:id="rId1"/>
    <sheet name="Draaitabel 1" sheetId="2" r:id="rId2"/>
    <sheet name="Blad9" sheetId="3" r:id="rId3"/>
    <sheet name="Bronnen gecombineerd" sheetId="4" r:id="rId4"/>
    <sheet name="Bron Sela" sheetId="5" r:id="rId5"/>
    <sheet name="Bron Opwekking" sheetId="6" r:id="rId6"/>
    <sheet name="Bron TPP" sheetId="7" r:id="rId7"/>
    <sheet name="Bron SvG" sheetId="8" r:id="rId8"/>
    <sheet name="2022 - Top-lijstjes" sheetId="9" r:id="rId9"/>
    <sheet name="2022 - Liederen per dienst" sheetId="10" r:id="rId10"/>
  </sheets>
  <definedNames>
    <definedName name="LijstBekendeLiederen">'Bronnen gecombineerd'!$A$2:$A$2000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8" l="1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908" i="6"/>
  <c r="A907" i="6"/>
  <c r="A906" i="6"/>
  <c r="A905" i="6"/>
  <c r="A904" i="6"/>
  <c r="A903" i="6"/>
  <c r="A902" i="6"/>
  <c r="A901" i="6"/>
  <c r="A900" i="6"/>
  <c r="A899" i="6"/>
  <c r="A898" i="6"/>
  <c r="A897" i="6"/>
  <c r="A896" i="6"/>
  <c r="A895" i="6"/>
  <c r="A894" i="6"/>
  <c r="A893" i="6"/>
  <c r="A892" i="6"/>
  <c r="A891" i="6"/>
  <c r="A890" i="6"/>
  <c r="A889" i="6"/>
  <c r="A888" i="6"/>
  <c r="A887" i="6"/>
  <c r="A886" i="6"/>
  <c r="A885" i="6"/>
  <c r="A884" i="6"/>
  <c r="A883" i="6"/>
  <c r="A882" i="6"/>
  <c r="A881" i="6"/>
  <c r="A880" i="6"/>
  <c r="A879" i="6"/>
  <c r="A878" i="6"/>
  <c r="A877" i="6"/>
  <c r="A876" i="6"/>
  <c r="A875" i="6"/>
  <c r="A874" i="6"/>
  <c r="A873" i="6"/>
  <c r="A872" i="6"/>
  <c r="A871" i="6"/>
  <c r="A870" i="6"/>
  <c r="A869" i="6"/>
  <c r="A868" i="6"/>
  <c r="A867" i="6"/>
  <c r="A866" i="6"/>
  <c r="A865" i="6"/>
  <c r="A864" i="6"/>
  <c r="A863" i="6"/>
  <c r="A862" i="6"/>
  <c r="A861" i="6"/>
  <c r="A860" i="6"/>
  <c r="A859" i="6"/>
  <c r="A858" i="6"/>
  <c r="A857" i="6"/>
  <c r="A856" i="6"/>
  <c r="A855" i="6"/>
  <c r="A854" i="6"/>
  <c r="A853" i="6"/>
  <c r="A852" i="6"/>
  <c r="A851" i="6"/>
  <c r="A850" i="6"/>
  <c r="A849" i="6"/>
  <c r="A848" i="6"/>
  <c r="A847" i="6"/>
  <c r="A846" i="6"/>
  <c r="A845" i="6"/>
  <c r="A844" i="6"/>
  <c r="A843" i="6"/>
  <c r="A842" i="6"/>
  <c r="A841" i="6"/>
  <c r="A840" i="6"/>
  <c r="A839" i="6"/>
  <c r="A838" i="6"/>
  <c r="A837" i="6"/>
  <c r="A836" i="6"/>
  <c r="A835" i="6"/>
  <c r="A834" i="6"/>
  <c r="A833" i="6"/>
  <c r="A832" i="6"/>
  <c r="A831" i="6"/>
  <c r="A830" i="6"/>
  <c r="A829" i="6"/>
  <c r="A828" i="6"/>
  <c r="A827" i="6"/>
  <c r="A826" i="6"/>
  <c r="A825" i="6"/>
  <c r="A824" i="6"/>
  <c r="A823" i="6"/>
  <c r="A822" i="6"/>
  <c r="A821" i="6"/>
  <c r="A820" i="6"/>
  <c r="A819" i="6"/>
  <c r="A818" i="6"/>
  <c r="A817" i="6"/>
  <c r="A816" i="6"/>
  <c r="A815" i="6"/>
  <c r="A814" i="6"/>
  <c r="A813" i="6"/>
  <c r="A812" i="6"/>
  <c r="A811" i="6"/>
  <c r="A810" i="6"/>
  <c r="A809" i="6"/>
  <c r="A808" i="6"/>
  <c r="A807" i="6"/>
  <c r="A806" i="6"/>
  <c r="A805" i="6"/>
  <c r="A804" i="6"/>
  <c r="A803" i="6"/>
  <c r="A802" i="6"/>
  <c r="A801" i="6"/>
  <c r="A800" i="6"/>
  <c r="A799" i="6"/>
  <c r="A798" i="6"/>
  <c r="A797" i="6"/>
  <c r="A796" i="6"/>
  <c r="A795" i="6"/>
  <c r="A794" i="6"/>
  <c r="A793" i="6"/>
  <c r="A792" i="6"/>
  <c r="A791" i="6"/>
  <c r="A790" i="6"/>
  <c r="A789" i="6"/>
  <c r="A788" i="6"/>
  <c r="A787" i="6"/>
  <c r="A786" i="6"/>
  <c r="A785" i="6"/>
  <c r="A784" i="6"/>
  <c r="A783" i="6"/>
  <c r="A782" i="6"/>
  <c r="A781" i="6"/>
  <c r="A780" i="6"/>
  <c r="A779" i="6"/>
  <c r="A778" i="6"/>
  <c r="A777" i="6"/>
  <c r="A776" i="6"/>
  <c r="A775" i="6"/>
  <c r="A774" i="6"/>
  <c r="A773" i="6"/>
  <c r="A772" i="6"/>
  <c r="A771" i="6"/>
  <c r="A770" i="6"/>
  <c r="A769" i="6"/>
  <c r="A768" i="6"/>
  <c r="A767" i="6"/>
  <c r="A766" i="6"/>
  <c r="A765" i="6"/>
  <c r="A764" i="6"/>
  <c r="A763" i="6"/>
  <c r="A762" i="6"/>
  <c r="A761" i="6"/>
  <c r="A760" i="6"/>
  <c r="A759" i="6"/>
  <c r="A758" i="6"/>
  <c r="A757" i="6"/>
  <c r="A756" i="6"/>
  <c r="A755" i="6"/>
  <c r="A754" i="6"/>
  <c r="A753" i="6"/>
  <c r="A752" i="6"/>
  <c r="A751" i="6"/>
  <c r="A750" i="6"/>
  <c r="A749" i="6"/>
  <c r="A748" i="6"/>
  <c r="A747" i="6"/>
  <c r="A746" i="6"/>
  <c r="A745" i="6"/>
  <c r="A744" i="6"/>
  <c r="A743" i="6"/>
  <c r="A742" i="6"/>
  <c r="A741" i="6"/>
  <c r="A740" i="6"/>
  <c r="A739" i="6"/>
  <c r="A738" i="6"/>
  <c r="A737" i="6"/>
  <c r="A736" i="6"/>
  <c r="A735" i="6"/>
  <c r="A734" i="6"/>
  <c r="A733" i="6"/>
  <c r="A732" i="6"/>
  <c r="A731" i="6"/>
  <c r="A730" i="6"/>
  <c r="A729" i="6"/>
  <c r="A728" i="6"/>
  <c r="A727" i="6"/>
  <c r="A726" i="6"/>
  <c r="A725" i="6"/>
  <c r="A724" i="6"/>
  <c r="A723" i="6"/>
  <c r="A722" i="6"/>
  <c r="A721" i="6"/>
  <c r="A720" i="6"/>
  <c r="A719" i="6"/>
  <c r="A718" i="6"/>
  <c r="A717" i="6"/>
  <c r="A716" i="6"/>
  <c r="A715" i="6"/>
  <c r="A714" i="6"/>
  <c r="A713" i="6"/>
  <c r="A712" i="6"/>
  <c r="A711" i="6"/>
  <c r="A710" i="6"/>
  <c r="A709" i="6"/>
  <c r="A708" i="6"/>
  <c r="A707" i="6"/>
  <c r="A706" i="6"/>
  <c r="A705" i="6"/>
  <c r="A704" i="6"/>
  <c r="A703" i="6"/>
  <c r="A702" i="6"/>
  <c r="A701" i="6"/>
  <c r="A700" i="6"/>
  <c r="A699" i="6"/>
  <c r="A698" i="6"/>
  <c r="A697" i="6"/>
  <c r="A696" i="6"/>
  <c r="A695" i="6"/>
  <c r="A694" i="6"/>
  <c r="A693" i="6"/>
  <c r="A692" i="6"/>
  <c r="A691" i="6"/>
  <c r="A690" i="6"/>
  <c r="A689" i="6"/>
  <c r="A688" i="6"/>
  <c r="A687" i="6"/>
  <c r="A686" i="6"/>
  <c r="A685" i="6"/>
  <c r="A684" i="6"/>
  <c r="A683" i="6"/>
  <c r="A682" i="6"/>
  <c r="A681" i="6"/>
  <c r="A680" i="6"/>
  <c r="A679" i="6"/>
  <c r="A678" i="6"/>
  <c r="A677" i="6"/>
  <c r="A676" i="6"/>
  <c r="A675" i="6"/>
  <c r="A674" i="6"/>
  <c r="A673" i="6"/>
  <c r="A672" i="6"/>
  <c r="A671" i="6"/>
  <c r="A670" i="6"/>
  <c r="A669" i="6"/>
  <c r="A668" i="6"/>
  <c r="A667" i="6"/>
  <c r="A666" i="6"/>
  <c r="A665" i="6"/>
  <c r="A664" i="6"/>
  <c r="A663" i="6"/>
  <c r="A662" i="6"/>
  <c r="A661" i="6"/>
  <c r="A660" i="6"/>
  <c r="A659" i="6"/>
  <c r="A658" i="6"/>
  <c r="A657" i="6"/>
  <c r="A656" i="6"/>
  <c r="A655" i="6"/>
  <c r="A654" i="6"/>
  <c r="A653" i="6"/>
  <c r="A652" i="6"/>
  <c r="A651" i="6"/>
  <c r="A650" i="6"/>
  <c r="A649" i="6"/>
  <c r="A648" i="6"/>
  <c r="A647" i="6"/>
  <c r="A646" i="6"/>
  <c r="A645" i="6"/>
  <c r="A644" i="6"/>
  <c r="A643" i="6"/>
  <c r="A642" i="6"/>
  <c r="A641" i="6"/>
  <c r="A640" i="6"/>
  <c r="A639" i="6"/>
  <c r="A638" i="6"/>
  <c r="A637" i="6"/>
  <c r="A636" i="6"/>
  <c r="A635" i="6"/>
  <c r="A634" i="6"/>
  <c r="A633" i="6"/>
  <c r="A632" i="6"/>
  <c r="A631" i="6"/>
  <c r="A630" i="6"/>
  <c r="A629" i="6"/>
  <c r="A628" i="6"/>
  <c r="A627" i="6"/>
  <c r="A626" i="6"/>
  <c r="A625" i="6"/>
  <c r="A624" i="6"/>
  <c r="A623" i="6"/>
  <c r="A622" i="6"/>
  <c r="A621" i="6"/>
  <c r="A620" i="6"/>
  <c r="A619" i="6"/>
  <c r="A618" i="6"/>
  <c r="A617" i="6"/>
  <c r="A616" i="6"/>
  <c r="A615" i="6"/>
  <c r="A614" i="6"/>
  <c r="A613" i="6"/>
  <c r="A612" i="6"/>
  <c r="A611" i="6"/>
  <c r="A610" i="6"/>
  <c r="A609" i="6"/>
  <c r="A608" i="6"/>
  <c r="A607" i="6"/>
  <c r="A606" i="6"/>
  <c r="A605" i="6"/>
  <c r="A604" i="6"/>
  <c r="A603" i="6"/>
  <c r="A602" i="6"/>
  <c r="A601" i="6"/>
  <c r="A600" i="6"/>
  <c r="A599" i="6"/>
  <c r="A598" i="6"/>
  <c r="A597" i="6"/>
  <c r="A596" i="6"/>
  <c r="A595" i="6"/>
  <c r="A594" i="6"/>
  <c r="A593" i="6"/>
  <c r="A592" i="6"/>
  <c r="A591" i="6"/>
  <c r="A590" i="6"/>
  <c r="A589" i="6"/>
  <c r="A588" i="6"/>
  <c r="A587" i="6"/>
  <c r="A586" i="6"/>
  <c r="A585" i="6"/>
  <c r="A584" i="6"/>
  <c r="A583" i="6"/>
  <c r="A582" i="6"/>
  <c r="A581" i="6"/>
  <c r="A580" i="6"/>
  <c r="A579" i="6"/>
  <c r="A578" i="6"/>
  <c r="A577" i="6"/>
  <c r="A576" i="6"/>
  <c r="A575" i="6"/>
  <c r="A574" i="6"/>
  <c r="A573" i="6"/>
  <c r="A572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1300" i="4"/>
  <c r="A1299" i="4"/>
  <c r="A1298" i="4"/>
  <c r="A1297" i="4"/>
  <c r="A1296" i="4"/>
  <c r="A1295" i="4"/>
  <c r="A1294" i="4"/>
  <c r="A1293" i="4"/>
  <c r="A1292" i="4"/>
  <c r="A1291" i="4"/>
  <c r="A1290" i="4"/>
  <c r="A1289" i="4"/>
  <c r="A1288" i="4"/>
  <c r="A1287" i="4"/>
  <c r="A1286" i="4"/>
  <c r="A1285" i="4"/>
  <c r="A1284" i="4"/>
  <c r="A1283" i="4"/>
  <c r="A1282" i="4"/>
  <c r="A1281" i="4"/>
  <c r="A1280" i="4"/>
  <c r="A1279" i="4"/>
  <c r="A1278" i="4"/>
  <c r="A1277" i="4"/>
  <c r="A1276" i="4"/>
  <c r="A1275" i="4"/>
  <c r="A1274" i="4"/>
  <c r="A1273" i="4"/>
  <c r="A1272" i="4"/>
  <c r="A1271" i="4"/>
  <c r="A1270" i="4"/>
  <c r="A1269" i="4"/>
  <c r="A1268" i="4"/>
  <c r="A1267" i="4"/>
  <c r="A1266" i="4"/>
  <c r="A1265" i="4"/>
  <c r="A1264" i="4"/>
  <c r="A1263" i="4"/>
  <c r="A1262" i="4"/>
  <c r="A1261" i="4"/>
  <c r="A1260" i="4"/>
  <c r="A1259" i="4"/>
  <c r="A1258" i="4"/>
  <c r="A1257" i="4"/>
  <c r="A1256" i="4"/>
  <c r="A1255" i="4"/>
  <c r="A1254" i="4"/>
  <c r="A1253" i="4"/>
  <c r="A1252" i="4"/>
  <c r="A1251" i="4"/>
  <c r="A1250" i="4"/>
  <c r="A1249" i="4"/>
  <c r="A1248" i="4"/>
  <c r="A1247" i="4"/>
  <c r="A1246" i="4"/>
  <c r="A1245" i="4"/>
  <c r="A1244" i="4"/>
  <c r="A1243" i="4"/>
  <c r="A1242" i="4"/>
  <c r="A1241" i="4"/>
  <c r="A1240" i="4"/>
  <c r="A1239" i="4"/>
  <c r="A1238" i="4"/>
  <c r="A1237" i="4"/>
  <c r="A1236" i="4"/>
  <c r="A1235" i="4"/>
  <c r="A1234" i="4"/>
  <c r="A1233" i="4"/>
  <c r="A1232" i="4"/>
  <c r="A1231" i="4"/>
  <c r="A1230" i="4"/>
  <c r="A1229" i="4"/>
  <c r="A1228" i="4"/>
  <c r="A1227" i="4"/>
  <c r="A1226" i="4"/>
  <c r="A1225" i="4"/>
  <c r="A1224" i="4"/>
  <c r="A1223" i="4"/>
  <c r="A1222" i="4"/>
  <c r="A1221" i="4"/>
  <c r="A1220" i="4"/>
  <c r="A1219" i="4"/>
  <c r="A1218" i="4"/>
  <c r="A1217" i="4"/>
  <c r="A1216" i="4"/>
  <c r="A1215" i="4"/>
  <c r="A1214" i="4"/>
  <c r="A1213" i="4"/>
  <c r="A1212" i="4"/>
  <c r="A1211" i="4"/>
  <c r="A1210" i="4"/>
  <c r="A1209" i="4"/>
  <c r="A1208" i="4"/>
  <c r="A1133" i="4"/>
  <c r="A1132" i="4"/>
  <c r="A1131" i="4"/>
  <c r="A1130" i="4"/>
  <c r="A1129" i="4"/>
  <c r="A1128" i="4"/>
  <c r="A1127" i="4"/>
  <c r="A1126" i="4"/>
  <c r="A1125" i="4"/>
  <c r="A1124" i="4"/>
  <c r="A1123" i="4"/>
  <c r="A1122" i="4"/>
  <c r="A1121" i="4"/>
  <c r="A1120" i="4"/>
  <c r="A1119" i="4"/>
  <c r="A1118" i="4"/>
  <c r="A1117" i="4"/>
  <c r="A1116" i="4"/>
  <c r="A1115" i="4"/>
  <c r="A1114" i="4"/>
  <c r="A1113" i="4"/>
  <c r="A1112" i="4"/>
  <c r="A1111" i="4"/>
  <c r="A1110" i="4"/>
  <c r="A1109" i="4"/>
  <c r="A1108" i="4"/>
  <c r="A1107" i="4"/>
  <c r="A1106" i="4"/>
  <c r="A1105" i="4"/>
  <c r="A1104" i="4"/>
  <c r="A1103" i="4"/>
  <c r="A1102" i="4"/>
  <c r="A1101" i="4"/>
  <c r="A1100" i="4"/>
  <c r="A1099" i="4"/>
  <c r="A1098" i="4"/>
  <c r="A1097" i="4"/>
  <c r="A1096" i="4"/>
  <c r="A1095" i="4"/>
  <c r="A1094" i="4"/>
  <c r="A1093" i="4"/>
  <c r="A1092" i="4"/>
  <c r="A1091" i="4"/>
  <c r="A1090" i="4"/>
  <c r="A1089" i="4"/>
  <c r="A1088" i="4"/>
  <c r="A1087" i="4"/>
  <c r="A1086" i="4"/>
  <c r="A1085" i="4"/>
  <c r="A1084" i="4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</calcChain>
</file>

<file path=xl/sharedStrings.xml><?xml version="1.0" encoding="utf-8"?>
<sst xmlns="http://schemas.openxmlformats.org/spreadsheetml/2006/main" count="1749" uniqueCount="1414">
  <si>
    <t>Te selecteren titel</t>
  </si>
  <si>
    <t>Datum</t>
  </si>
  <si>
    <t>Lied</t>
  </si>
  <si>
    <t>SvG Miljoenen stemmen</t>
  </si>
  <si>
    <t>Opw 888 Zie het Lam, zie de wonden in zijn hand / Hij leeft(, Hij leeft)</t>
  </si>
  <si>
    <t>Marcel en Lydia - De Heer is mijn Herder</t>
  </si>
  <si>
    <t>Matthijn Buwalda - Een Berg Rede</t>
  </si>
  <si>
    <t>Sela - Mag ik jou tot zegen zijn</t>
  </si>
  <si>
    <t>Opw 884 Oneindige goedheid, trouw zonder grenzen / Allesomvattend</t>
  </si>
  <si>
    <t>Opw 769 Bouw uw koninkrijk/Kom, vestig uw gezag</t>
  </si>
  <si>
    <t>Matt Redman - Ten Thousand Reasons</t>
  </si>
  <si>
    <t>Will you come and follow me</t>
  </si>
  <si>
    <t>Run to the father</t>
  </si>
  <si>
    <t>Opw 488 Heer, ik kom tot U, neem mijn hart</t>
  </si>
  <si>
    <t>Opw 599 Kom tot de Vader/Nog voordat je bestond</t>
  </si>
  <si>
    <t>Titel</t>
  </si>
  <si>
    <t>Opw kids 185 - De here zegent jou</t>
  </si>
  <si>
    <t>Opw 136 Abba, Vader, U alleen</t>
  </si>
  <si>
    <t>Liedboek 216 Dit is een morgen als ooit de eerste</t>
  </si>
  <si>
    <t>DNP 19 De hemel prijst de Heer</t>
  </si>
  <si>
    <t>Elly en Rikkert - Als je veel van iemand houdt</t>
  </si>
  <si>
    <t>Opw 126 Jezus vol liefde</t>
  </si>
  <si>
    <t>Liedboek 221 - Zo vriendelijk en veilig als het licht</t>
  </si>
  <si>
    <t>Opw 737 U nodigt mij aan tafel</t>
  </si>
  <si>
    <t>Aan mijn zij</t>
  </si>
  <si>
    <t>ZG 199 - In Christus brengt God ons terecht</t>
  </si>
  <si>
    <t>Liedboek 1005 - Christus, ons licht</t>
  </si>
  <si>
    <t>Aan uw tafel</t>
  </si>
  <si>
    <t>Liedboek 985 - Heilig, Heilig, Heilig</t>
  </si>
  <si>
    <t>Agnus Dei</t>
  </si>
  <si>
    <t>Opw 383 Geest van hierboven, leer ons geloven</t>
  </si>
  <si>
    <t>Alfa en omega</t>
  </si>
  <si>
    <t>Opw 343 Heilige Geest van God, vul opnieuw mijn hart</t>
  </si>
  <si>
    <t>Alle eer aan God</t>
  </si>
  <si>
    <t>Alleen met God</t>
  </si>
  <si>
    <t>Opw 389 Create in me a clean heart</t>
  </si>
  <si>
    <t>DNP 119</t>
  </si>
  <si>
    <t>Alles voor Hem</t>
  </si>
  <si>
    <t>Elly en Rikkert - Door de kracht van de Heilige Geest</t>
  </si>
  <si>
    <t>Alles wat adem heeft</t>
  </si>
  <si>
    <t>Liedboek 670 - Kom Schepper God, O Heilige Geest</t>
  </si>
  <si>
    <t>Alles wordt nieuw</t>
  </si>
  <si>
    <t>Opw 167 Samen in de naam van Jezus</t>
  </si>
  <si>
    <t>Als alles duister is</t>
  </si>
  <si>
    <t>Peace Like a River</t>
  </si>
  <si>
    <t>GK 161 - Heer u bent mijn Leven</t>
  </si>
  <si>
    <t>Opw 281 Als een hert dat verlangt naar water</t>
  </si>
  <si>
    <t>Als een vuur van binnen</t>
  </si>
  <si>
    <t>Opw 874 God van Abraham /Uw trouw</t>
  </si>
  <si>
    <t>Als ik U ontmoet</t>
  </si>
  <si>
    <t>Opw 687 Heer, wijs mij uw weg</t>
  </si>
  <si>
    <t>Opw 815 Vul dit huis met Uw glorie</t>
  </si>
  <si>
    <t>Als ik naar de bergen kijk</t>
  </si>
  <si>
    <t>Opw kids 233 - God heeft een plan met je leven</t>
  </si>
  <si>
    <t>Altijd bij U</t>
  </si>
  <si>
    <t>Altijd dezelfde</t>
  </si>
  <si>
    <t>Opw 672 Heerser over alle dingen</t>
  </si>
  <si>
    <t>Avondlied</t>
  </si>
  <si>
    <t>Opw 510 Dit is mijn verlangen/ Ik geef U mijn hart</t>
  </si>
  <si>
    <t>Avondmaal</t>
  </si>
  <si>
    <t>Belijdenis</t>
  </si>
  <si>
    <t>Opw 849 Goedheid van God/Ik hou van U. Uw genade blijft me dragen</t>
  </si>
  <si>
    <t>Bid met mij</t>
  </si>
  <si>
    <t>Sela - Gods zegen voor jou</t>
  </si>
  <si>
    <t>Bij U is de bron (Psalm 36)</t>
  </si>
  <si>
    <t>Blijf in mij</t>
  </si>
  <si>
    <t>Sela - Gods verhaal gaat door</t>
  </si>
  <si>
    <t>Breng ons samen</t>
  </si>
  <si>
    <t>Turn Your Eyes upon Jesus</t>
  </si>
  <si>
    <t>Daar juicht een toon</t>
  </si>
  <si>
    <t>Sela - Een toekomst vol van hoop</t>
  </si>
  <si>
    <t>Dageraad</t>
  </si>
  <si>
    <t>Dank U Heer</t>
  </si>
  <si>
    <t>Opw 454 Eeuwige God/Zegen, aanbidding</t>
  </si>
  <si>
    <t>Danklied</t>
  </si>
  <si>
    <t>De Gastheer nodigt</t>
  </si>
  <si>
    <t>TPP God van liefde, God van trouw</t>
  </si>
  <si>
    <t>De Naam van onze God</t>
  </si>
  <si>
    <t>De dag van de Heer</t>
  </si>
  <si>
    <t>Opw 767 Familie/Hoe mooi en hoe heerlijk</t>
  </si>
  <si>
    <t>De mensen die we missen</t>
  </si>
  <si>
    <t>De minsten van de mensen</t>
  </si>
  <si>
    <t>Opw 334 Heer, uw licht en uw liefde schijnen</t>
  </si>
  <si>
    <t>De wind steekt op</t>
  </si>
  <si>
    <t>Opw 733 Tienduizend redenen/De zon komt op, maakt de morgen wakker</t>
  </si>
  <si>
    <t>Die Menschen, die wir vermissen</t>
  </si>
  <si>
    <t>Opw 123 Groot is uw trouw</t>
  </si>
  <si>
    <t>Dit kind is onze koning</t>
  </si>
  <si>
    <t>Onder boven, voor en achter, God is altijd bij mij</t>
  </si>
  <si>
    <t>Doop</t>
  </si>
  <si>
    <t>Door Hem volbracht</t>
  </si>
  <si>
    <t>Doxology</t>
  </si>
  <si>
    <t>Opw 518 Heer, U bent altijd bij mij/Heer, U doorgrondt en kent mij</t>
  </si>
  <si>
    <t>Een kind is ons geboren</t>
  </si>
  <si>
    <t>Een toekomst vol van hoop</t>
  </si>
  <si>
    <t>Een weg naar U</t>
  </si>
  <si>
    <t>Eindelijk hier</t>
  </si>
  <si>
    <t>Emmaüs</t>
  </si>
  <si>
    <t>Er is een roos ontloken</t>
  </si>
  <si>
    <t>Gezang 14 - De Heer is mijn Herder</t>
  </si>
  <si>
    <t>Ere zij God</t>
  </si>
  <si>
    <t>Opw 430 Heer, ik prijs uw grote naam</t>
  </si>
  <si>
    <t>Eén woord is genoeg</t>
  </si>
  <si>
    <t>PvN 117 - Met Ons</t>
  </si>
  <si>
    <t>Feestgedruis</t>
  </si>
  <si>
    <t>Trinity - Ik wens jou</t>
  </si>
  <si>
    <t>Gaudete (Wij verheugen ons)</t>
  </si>
  <si>
    <t>Gebed om hulp</t>
  </si>
  <si>
    <t>Sela - Gebed om zegen</t>
  </si>
  <si>
    <t>DNP 24</t>
  </si>
  <si>
    <t>Gebed om vergeving</t>
  </si>
  <si>
    <t>Opw 249 Heer, wat een voorrecht/Samen werken</t>
  </si>
  <si>
    <t>Gebed om vrijheid</t>
  </si>
  <si>
    <t>Michael W Smith - Awesome God</t>
  </si>
  <si>
    <t>Gebed om zegen</t>
  </si>
  <si>
    <t>Gebed voor de werkdag</t>
  </si>
  <si>
    <t>Opw 32 Dit is de dag die de Heer ons geeft</t>
  </si>
  <si>
    <t>Geef ons vrede</t>
  </si>
  <si>
    <t>Geef ons vrede (dona nobis)</t>
  </si>
  <si>
    <t>Geef vrede</t>
  </si>
  <si>
    <t>Geen plek waar U niet bent</t>
  </si>
  <si>
    <t>Opw 520 Wees mijn verlangen</t>
  </si>
  <si>
    <t>Geen zorgen</t>
  </si>
  <si>
    <t>Opw 554 Mijn verlosser leeft/Ik weet: Hij heeft mij gered</t>
  </si>
  <si>
    <t>Geest van waarheid en genade</t>
  </si>
  <si>
    <t>Gehuld in de stilte</t>
  </si>
  <si>
    <t>Opw 71 Jezus leeft in eeuwigheid</t>
  </si>
  <si>
    <t>Getsemane</t>
  </si>
  <si>
    <t>Voor Willem van Nassouwe</t>
  </si>
  <si>
    <t>Getuig</t>
  </si>
  <si>
    <t>Gezegend bent U, Heer</t>
  </si>
  <si>
    <t>Opw 213 U zij de glorie opgestane Heer</t>
  </si>
  <si>
    <t>Gezegend is de Vader</t>
  </si>
  <si>
    <t>Sela - Daar juicht een toon</t>
  </si>
  <si>
    <t>Glorie aan God</t>
  </si>
  <si>
    <t>Glorie heeft een Naam</t>
  </si>
  <si>
    <t>Opw 799 In eeuwigheid/De middag kleurde zwart</t>
  </si>
  <si>
    <t>God U bent mijn God</t>
  </si>
  <si>
    <t>Opw 331 Breng dank aan de Eeuwige</t>
  </si>
  <si>
    <t>God is in ons midden</t>
  </si>
  <si>
    <t>Elly en Rikkert - Hij Leeft</t>
  </si>
  <si>
    <t>God is overal</t>
  </si>
  <si>
    <t>Sela - Juicht / Hij is verheerlijkt</t>
  </si>
  <si>
    <t>God keert alles om</t>
  </si>
  <si>
    <t>God roept ons</t>
  </si>
  <si>
    <t>Opw 832 Jezus Overwinnaar/Waar U verschijnt, wordt alles nieuw</t>
  </si>
  <si>
    <t>God van leven</t>
  </si>
  <si>
    <t>Opw 715 Wat hou ik van uw huis</t>
  </si>
  <si>
    <t>God zal om ons juichen</t>
  </si>
  <si>
    <t>God zal voor ons zorgen</t>
  </si>
  <si>
    <t>Naar u gaat mijn verlangen</t>
  </si>
  <si>
    <t>Gods verhaal gaat door</t>
  </si>
  <si>
    <t>Opw 298 Hosanna, hosanna, hosanna in de hoge</t>
  </si>
  <si>
    <t>Gods zegen voor jou</t>
  </si>
  <si>
    <t>Goed om hier te zijn</t>
  </si>
  <si>
    <t>Joh de Heer 847 - Rust, mijn ziel, uw God is Koning</t>
  </si>
  <si>
    <t>Halleluja eeuwig dank en ere</t>
  </si>
  <si>
    <t>Opw 386 Lof zij de Heer, de almachtige Koning der ere</t>
  </si>
  <si>
    <t>Halleluja voor de eeuwige</t>
  </si>
  <si>
    <t>PvN 121 - Ik kijk omhoog naar de hoge bergen</t>
  </si>
  <si>
    <t>Hard geslagen vastgenageld</t>
  </si>
  <si>
    <t>Heel mijn hart</t>
  </si>
  <si>
    <t>Heel uw koninkrijk</t>
  </si>
  <si>
    <t>Opw 671 Lof, aanbidding/U schiep zon en maan en sterrenpracht</t>
  </si>
  <si>
    <t>Heer ontferm U over ons</t>
  </si>
  <si>
    <t>Opw kids 68 - Diep diep diep als de zee</t>
  </si>
  <si>
    <t>Heer wees om mij heen</t>
  </si>
  <si>
    <t>Heer wijs mij uw weg</t>
  </si>
  <si>
    <t>Heer, U bent</t>
  </si>
  <si>
    <t>Opw 575 Jezus alleen, ik bouw op Hem</t>
  </si>
  <si>
    <t>Heer, we kijken omhoog</t>
  </si>
  <si>
    <t>He will Hold me Fast</t>
  </si>
  <si>
    <t>Heilige grond</t>
  </si>
  <si>
    <t>Hemelse gave</t>
  </si>
  <si>
    <t>Opw 868 Hoop en redding / Hoor ons bidden, hoogste Koning</t>
  </si>
  <si>
    <t>Het Woord van God</t>
  </si>
  <si>
    <t>Opw 844 Zegen/De God van Abraham, Isaak en Jakob</t>
  </si>
  <si>
    <t>Het mooiste lied</t>
  </si>
  <si>
    <t>Opw 802 Hier is mijn hart, Heer</t>
  </si>
  <si>
    <t>Hier ben ik Heer</t>
  </si>
  <si>
    <t>PvN 16 - Ik val niet uit zijn hand</t>
  </si>
  <si>
    <t>Hier is rust</t>
  </si>
  <si>
    <t>Opw 629 Als er vergeving is/Hoe kan ik verder leven</t>
  </si>
  <si>
    <t>Insalvation - Uw liefde is mijn houvast</t>
  </si>
  <si>
    <t>Hij is Koning</t>
  </si>
  <si>
    <t>Hoe machtig is uw naam</t>
  </si>
  <si>
    <t>Hoor de engelen zingen d'eer</t>
  </si>
  <si>
    <t>Opw 354 Glorie aan God</t>
  </si>
  <si>
    <t>Hoor mijn gebed</t>
  </si>
  <si>
    <t>Opw 40 Zoekt eerst het koninkrijk van God</t>
  </si>
  <si>
    <t>Houd mij vast</t>
  </si>
  <si>
    <t>Opw 464 Wees stil voor het aangezicht van God</t>
  </si>
  <si>
    <t>Huis van vrede</t>
  </si>
  <si>
    <t>The Promise - Half a Mile</t>
  </si>
  <si>
    <t>I will be there</t>
  </si>
  <si>
    <t>Charity Gayle - I speak Jesus</t>
  </si>
  <si>
    <t>Iedere nacht</t>
  </si>
  <si>
    <t>Ik ben</t>
  </si>
  <si>
    <t>Ik leef</t>
  </si>
  <si>
    <t>Ik wil komen en knielen</t>
  </si>
  <si>
    <t>Ik zal er zijn</t>
  </si>
  <si>
    <t>In Jezus naam</t>
  </si>
  <si>
    <t>In alles</t>
  </si>
  <si>
    <t>In de morgen</t>
  </si>
  <si>
    <t>In deze stilte</t>
  </si>
  <si>
    <t>In het licht</t>
  </si>
  <si>
    <t>In ons hart geboren</t>
  </si>
  <si>
    <t>J</t>
  </si>
  <si>
    <t>Jezus alleen / Hij is de rots</t>
  </si>
  <si>
    <t>Jezus is Heer</t>
  </si>
  <si>
    <t>Jezus leidt Zijn kerk</t>
  </si>
  <si>
    <t>Jezus liefde voor mij</t>
  </si>
  <si>
    <t>Jezus, U bent bij ons</t>
  </si>
  <si>
    <t>Juich, hosanna</t>
  </si>
  <si>
    <t>Juicht / Hij is verheerlijkt</t>
  </si>
  <si>
    <t>Ken mijn hart</t>
  </si>
  <si>
    <t>Kerstnacht boven Bethlehem</t>
  </si>
  <si>
    <t>Klaaglied</t>
  </si>
  <si>
    <t>Klein Gloria (Gloria Patri)</t>
  </si>
  <si>
    <t>Kom Heilige Geest</t>
  </si>
  <si>
    <t>Kom met vrede</t>
  </si>
  <si>
    <t>Kom tot Hem</t>
  </si>
  <si>
    <t>Kom tot ons, Heer (adventsgebed)</t>
  </si>
  <si>
    <t>Kom tot ons, de wereld wacht</t>
  </si>
  <si>
    <t>Kom, vier het feest met mij</t>
  </si>
  <si>
    <t>Komt allen tezamen</t>
  </si>
  <si>
    <t>Kyrie</t>
  </si>
  <si>
    <t>Kyrie Eleison</t>
  </si>
  <si>
    <t>Laat ons samen een zijn</t>
  </si>
  <si>
    <t>Leer mij geven</t>
  </si>
  <si>
    <t>Leer mij, o Heer, uw lijden</t>
  </si>
  <si>
    <t>Liefste Jezus</t>
  </si>
  <si>
    <t>Lof aanbidding</t>
  </si>
  <si>
    <t>Machtig Strijder</t>
  </si>
  <si>
    <t>Machtig wonder</t>
  </si>
  <si>
    <t>Mag ik jou tot zegen zijn</t>
  </si>
  <si>
    <t>Magnificat</t>
  </si>
  <si>
    <t>Man van smarten</t>
  </si>
  <si>
    <t>Maranatha</t>
  </si>
  <si>
    <t>Maria, had je door</t>
  </si>
  <si>
    <t>Met U alleen</t>
  </si>
  <si>
    <t>Met een hart en stem</t>
  </si>
  <si>
    <t>Mijn Herder</t>
  </si>
  <si>
    <t>Mijn toevlucht (Psalm 91)</t>
  </si>
  <si>
    <t>Moeders van Bethlehem</t>
  </si>
  <si>
    <t>Berekend veld 1</t>
  </si>
  <si>
    <t>Naar het licht toe</t>
  </si>
  <si>
    <t>Nu laat U mij in vrede gaan</t>
  </si>
  <si>
    <t>O kindeke klein</t>
  </si>
  <si>
    <t>O kom nu en jubel</t>
  </si>
  <si>
    <t>O kom, o kom, Immanuël</t>
  </si>
  <si>
    <t>O mensen, kom</t>
  </si>
  <si>
    <t>One church</t>
  </si>
  <si>
    <t>Op U, mijn Heiland blijf ik hopen</t>
  </si>
  <si>
    <t>Opgestaan</t>
  </si>
  <si>
    <t>Ouverture Thuis</t>
  </si>
  <si>
    <t>Eindtotaal</t>
  </si>
  <si>
    <t>Pad van de liefde</t>
  </si>
  <si>
    <t>Prelude</t>
  </si>
  <si>
    <t>Preludium</t>
  </si>
  <si>
    <t>Psalm 84</t>
  </si>
  <si>
    <t>Psalm 96</t>
  </si>
  <si>
    <t>Psalm 98</t>
  </si>
  <si>
    <t>Raak mijn wonden aan</t>
  </si>
  <si>
    <t>Ruimte voor U</t>
  </si>
  <si>
    <t>Samen eten wij</t>
  </si>
  <si>
    <t>Sanctus</t>
  </si>
  <si>
    <t>Speel</t>
  </si>
  <si>
    <t>Stad van God</t>
  </si>
  <si>
    <t>Stille nacht, heilige nacht</t>
  </si>
  <si>
    <t>Thuis</t>
  </si>
  <si>
    <t>U</t>
  </si>
  <si>
    <t>U bent aanwezig</t>
  </si>
  <si>
    <t>U bent hier</t>
  </si>
  <si>
    <t>U bent mijn schuilplaats Heer</t>
  </si>
  <si>
    <t>U maakt ons één</t>
  </si>
  <si>
    <t>U zij de glorie</t>
  </si>
  <si>
    <t>Ubi caritas</t>
  </si>
  <si>
    <t>Uw naam</t>
  </si>
  <si>
    <t>Vaders huis</t>
  </si>
  <si>
    <t>Veni Creator Spiritus</t>
  </si>
  <si>
    <t>Verborgen rijkdom</t>
  </si>
  <si>
    <t>Vergeef ons</t>
  </si>
  <si>
    <t>Verlangen</t>
  </si>
  <si>
    <t>Verwachten</t>
  </si>
  <si>
    <t>Via Dolorosa</t>
  </si>
  <si>
    <t>Volheid van God</t>
  </si>
  <si>
    <t>Volheid van genade</t>
  </si>
  <si>
    <t>Voor het goede van het land</t>
  </si>
  <si>
    <t>Voorbedelied</t>
  </si>
  <si>
    <t>Votum en Groet</t>
  </si>
  <si>
    <t>Vrede voor wie het hoort</t>
  </si>
  <si>
    <t>Vreugde van mijn hart</t>
  </si>
  <si>
    <t>Vreugdevuur</t>
  </si>
  <si>
    <t>Vul ons met uw liefde</t>
  </si>
  <si>
    <t>Waar vriendschap en liefde zijn</t>
  </si>
  <si>
    <t>Wacht op de Heer</t>
  </si>
  <si>
    <t>Wanneer ik U niet vind</t>
  </si>
  <si>
    <t>Wanneer wordt het waar</t>
  </si>
  <si>
    <t>Wat een grote liefde</t>
  </si>
  <si>
    <t>Wees bij ons</t>
  </si>
  <si>
    <t>Wees stil voor het aangezicht van God</t>
  </si>
  <si>
    <t>Wees verheugd</t>
  </si>
  <si>
    <t>Welkom hier bij ons</t>
  </si>
  <si>
    <t>Welzalig de man</t>
  </si>
  <si>
    <t>Wiegelied</t>
  </si>
  <si>
    <t>Wij gaan niet zonder U</t>
  </si>
  <si>
    <t>Wij geloven</t>
  </si>
  <si>
    <t>Wij leven van de wind</t>
  </si>
  <si>
    <t>Wij trekken in een lange stoet</t>
  </si>
  <si>
    <t>Wij verhogen uw naam</t>
  </si>
  <si>
    <t>Wij volgen U Heer</t>
  </si>
  <si>
    <t>Wij zijn het licht</t>
  </si>
  <si>
    <t>Wijs mij de weg naar Bethlehem</t>
  </si>
  <si>
    <t>Wonderlijk</t>
  </si>
  <si>
    <t>Wonderlijke raad van God</t>
  </si>
  <si>
    <t>Zegen komt van U</t>
  </si>
  <si>
    <t>Zegen voor de kinderen</t>
  </si>
  <si>
    <t>Zie de mens</t>
  </si>
  <si>
    <t>Zie hoe Jezus lijdt voor mij</t>
  </si>
  <si>
    <t>Zo hoort uw liefde bij ons</t>
  </si>
  <si>
    <t>Zo is het beloofd</t>
  </si>
  <si>
    <t>Zo lief had God de Vader ons</t>
  </si>
  <si>
    <t>Opwekking titel opgemaakt</t>
  </si>
  <si>
    <t>Nr</t>
  </si>
  <si>
    <t>Opwekking titel</t>
  </si>
  <si>
    <t>Selecteerbare titel</t>
  </si>
  <si>
    <t>TPP titel</t>
  </si>
  <si>
    <t>Hij's de Koning van mijn hart</t>
  </si>
  <si>
    <t>O, hoe wonderbaar is Jezus' bloed</t>
  </si>
  <si>
    <t>Wees blij in de Heer en zing verheugd</t>
  </si>
  <si>
    <t>Zijn naam is wonderbaar</t>
  </si>
  <si>
    <t>Halleluja (Jerry Sinclair)</t>
  </si>
  <si>
    <t>Hij is Heer, Hij is Heer</t>
  </si>
  <si>
    <t>Ps. 142 - Ik Roep Tot U</t>
  </si>
  <si>
    <t>Heer, God, U loven wij</t>
  </si>
  <si>
    <t>Door de heilige Geest zijn wij één</t>
  </si>
  <si>
    <t>Wat ik nodig heb</t>
  </si>
  <si>
    <t>Laat mijn leven zijn</t>
  </si>
  <si>
    <t>Ps. 32 - Als Nieuw Geboren</t>
  </si>
  <si>
    <t>Er is een Heer/Jezus sprak hier op aard</t>
  </si>
  <si>
    <t>All over the world</t>
  </si>
  <si>
    <t>Jezus, Hij is Koning</t>
  </si>
  <si>
    <t>Ps. 67 - Heer Zegen Ons</t>
  </si>
  <si>
    <t>De vreugde des Heren is mijn kracht</t>
  </si>
  <si>
    <t>Ps. 68 - God Van Heil</t>
  </si>
  <si>
    <t>Jesus' love is very wonderful</t>
  </si>
  <si>
    <t>Hij is getrouw en nimmer falend</t>
  </si>
  <si>
    <t>Ps. 75 - U Loven Wij</t>
  </si>
  <si>
    <t>Ja, God is goed</t>
  </si>
  <si>
    <t>Zijn goedheid en genade</t>
  </si>
  <si>
    <t>Ps. 85 - Goedheid En Trouw</t>
  </si>
  <si>
    <t>He brought me to His banqueting table</t>
  </si>
  <si>
    <t>Niemand anders dan Jezus</t>
  </si>
  <si>
    <t>Ps. 27 - Wacht Op De Heer</t>
  </si>
  <si>
    <t>Ik dank U, dank U Jezus</t>
  </si>
  <si>
    <t>Ps. 91 - U Bent Mijn Schild</t>
  </si>
  <si>
    <t>In de naam van Jezus, in de naam van Jezus</t>
  </si>
  <si>
    <t>Ik weet, dat God de weg mij banen zal</t>
  </si>
  <si>
    <t>Ps. 130 - Red Mij Heer</t>
  </si>
  <si>
    <t>Zingt, zingt en jubelt</t>
  </si>
  <si>
    <t>Laat ons met elkander</t>
  </si>
  <si>
    <t>Ps. 136 - Loof De Heer</t>
  </si>
  <si>
    <t>Gods weg is de beste</t>
  </si>
  <si>
    <t>Leid mij, Heer, o machtig Heiland</t>
  </si>
  <si>
    <t>Ps. 100 - Hij Is Heer</t>
  </si>
  <si>
    <t>Als Gods Geest waarlijk in ons woont</t>
  </si>
  <si>
    <t>Praise the Lord</t>
  </si>
  <si>
    <t>Ps. 146 - I will sing out</t>
  </si>
  <si>
    <t>Ik heb een loflied in mijn hart</t>
  </si>
  <si>
    <t>Ps. 1 - Here I am</t>
  </si>
  <si>
    <t>O, how I love Jesus</t>
  </si>
  <si>
    <t>Dit is de dag die de Heer ons geeft</t>
  </si>
  <si>
    <t>Ps. 80 - Hear us oh God</t>
  </si>
  <si>
    <t>Prijst God</t>
  </si>
  <si>
    <t>Hiney ma tov ooma nayim</t>
  </si>
  <si>
    <t>Ps. 23 - Green is the land</t>
  </si>
  <si>
    <t>Klapt in de handen</t>
  </si>
  <si>
    <t>Roep Mij toch aan</t>
  </si>
  <si>
    <t>Ps. 51 - Whiter than snow</t>
  </si>
  <si>
    <t>Halleluja. Hij stierf voor mij</t>
  </si>
  <si>
    <t>Halleluja (Garratt)</t>
  </si>
  <si>
    <t>God of love and faithfulness</t>
  </si>
  <si>
    <t>Heilig, heilig, Heer God almachtig</t>
  </si>
  <si>
    <t>Ps. 133 - How good it is</t>
  </si>
  <si>
    <t>Zoekt eerst het koninkrijk van God</t>
  </si>
  <si>
    <t>Love is the flag</t>
  </si>
  <si>
    <t>Ps. 146 - Praise the Lord with joyful noises</t>
  </si>
  <si>
    <t>k Stel mijn vertrouwen</t>
  </si>
  <si>
    <t>Ps. 96 - Great is our God</t>
  </si>
  <si>
    <t>In Gods overwinning</t>
  </si>
  <si>
    <t>Geprezen zij de Heer die eeuwig leeft</t>
  </si>
  <si>
    <t>Ps. 103 - Bless the Lord, my soul</t>
  </si>
  <si>
    <t>Heer, 'k wil U danken, U loven en prijzen</t>
  </si>
  <si>
    <t>Ps. 146 - Hoop op Hem</t>
  </si>
  <si>
    <t>Vader, ik aanbid U</t>
  </si>
  <si>
    <t>Ps. 80 - Bescherm ons Heer</t>
  </si>
  <si>
    <t>Omdat Hij leeft</t>
  </si>
  <si>
    <t>Dank U Jezus</t>
  </si>
  <si>
    <t>Halleluja, want de Heer onze God</t>
  </si>
  <si>
    <t>k Wil U prijzen, o Heer</t>
  </si>
  <si>
    <t>Ps. 23 - Groen is het land</t>
  </si>
  <si>
    <t>Dit is mijn gebod</t>
  </si>
  <si>
    <t>Gij zijt waardig</t>
  </si>
  <si>
    <t>Ps. 51 - Witter dan sneeuw</t>
  </si>
  <si>
    <t>Zingt de Here een nieuw lied</t>
  </si>
  <si>
    <t>God van liefde, God van trouw</t>
  </si>
  <si>
    <t>Looft de Here, alle gij volken</t>
  </si>
  <si>
    <t>Ps. 133 - Daar is het leven goed</t>
  </si>
  <si>
    <t>Groot is de Heer en hoog te loven</t>
  </si>
  <si>
    <t>Zijn naam is hoger</t>
  </si>
  <si>
    <t>Ps. 146 - Prijs de Heer met blijde galmen</t>
  </si>
  <si>
    <t>Prijst de naam van Jezus</t>
  </si>
  <si>
    <t>Vrede zij u</t>
  </si>
  <si>
    <t>Ps. 93 - Uw macht is groot</t>
  </si>
  <si>
    <t>Mogen de woorden van mijn mond</t>
  </si>
  <si>
    <t>Ps. 96 - Zing voor de Heer</t>
  </si>
  <si>
    <t>Voor uw liefde, Heer Jezus</t>
  </si>
  <si>
    <t>Ps. 143 - Heel mijn ziel verlangt naar U</t>
  </si>
  <si>
    <t>Ps. 113 - Wie is als onze God</t>
  </si>
  <si>
    <t>Prijst met ons de Heer</t>
  </si>
  <si>
    <t>Ps. 103 - Loof de Heer mijn ziel</t>
  </si>
  <si>
    <t>Gods lof wil 'k zingen</t>
  </si>
  <si>
    <t>Prijst de Here met elkander</t>
  </si>
  <si>
    <t>Ps. 25 - Gebed</t>
  </si>
  <si>
    <t>Beter dan 't leven</t>
  </si>
  <si>
    <t>Ps. 139 - Heer die mij ziet zoals ik ben</t>
  </si>
  <si>
    <t>Loof de Here, mijn ziel</t>
  </si>
  <si>
    <t>Komt, prijst de Heer</t>
  </si>
  <si>
    <t>Het is goed, ja 't is goed</t>
  </si>
  <si>
    <t>Zing halleluja voor de Heer</t>
  </si>
  <si>
    <t>k Heb je lief met de liefde van de Heer</t>
  </si>
  <si>
    <t>Heer, onze God, hoe heerlijk is uw naam</t>
  </si>
  <si>
    <t>Ps. 138 - U loof ik Heer</t>
  </si>
  <si>
    <t>Jezus leeft in eeuwigheid</t>
  </si>
  <si>
    <t>Vanwaar de zon opgaat</t>
  </si>
  <si>
    <t>Ps. 116 - Feestzang</t>
  </si>
  <si>
    <t>Wat een plezier heeft het meisje</t>
  </si>
  <si>
    <t>Heer, we zijn hier saamgekomen</t>
  </si>
  <si>
    <t>Wie lof offert, eert Mij</t>
  </si>
  <si>
    <t>Maar Gij, Heer, zijt een schild dat mij dekt</t>
  </si>
  <si>
    <t>Ps. 134 - Zegenbede</t>
  </si>
  <si>
    <t>Wij zijn allen hier bijeen in Jezus' naam</t>
  </si>
  <si>
    <t>Halleluja, looft God in zijn heiligdom</t>
  </si>
  <si>
    <t>Ps. 62 - Mijn ziel is stil tot God</t>
  </si>
  <si>
    <t>Tot U, o Heer, hef ik op mijn ziele</t>
  </si>
  <si>
    <t>Ps. 42 - Mijn ziel verlangt naar U</t>
  </si>
  <si>
    <t>Ik zal opgaan naar Gods huis</t>
  </si>
  <si>
    <t>Waardig, waardig, waardig</t>
  </si>
  <si>
    <t>Ps. 119 - Met al mijn kracht</t>
  </si>
  <si>
    <t>Komt, laat ons zingen vandaag</t>
  </si>
  <si>
    <t>Hij, die gelooft</t>
  </si>
  <si>
    <t>Ps. 84 - Pelgrimslied</t>
  </si>
  <si>
    <t>Hij wordt mij liever ied're dag</t>
  </si>
  <si>
    <t>Ps. 86 - Gebed om hulp</t>
  </si>
  <si>
    <t>Eenmaal zullen wij de Koning zien</t>
  </si>
  <si>
    <t>Ps. 149 - Israëls triomflied</t>
  </si>
  <si>
    <t>Ps. 22 - Mijn God, Waarom?</t>
  </si>
  <si>
    <t>Zing en speel tot eer van Hem</t>
  </si>
  <si>
    <t>Ps. 62 - Mijn Ziel Is Stil Tot God</t>
  </si>
  <si>
    <t>Alle kind'ren mogen komen</t>
  </si>
  <si>
    <t>Ps. 72 - Gebed Voor De Koning</t>
  </si>
  <si>
    <t>Een rivier vol van vrede</t>
  </si>
  <si>
    <t>Als ik mij herinner wat Hij deed voor mij</t>
  </si>
  <si>
    <t>Ps. 86 - Gebed Om Hulp</t>
  </si>
  <si>
    <t>Daarginds ver in de hemel</t>
  </si>
  <si>
    <t>Jezus houdt van alle kleine kinderen</t>
  </si>
  <si>
    <t>Ps. 116 - God Heb Ik Lief</t>
  </si>
  <si>
    <t>Geef mij olie in mijn lamp</t>
  </si>
  <si>
    <t>Jezus overwon de dood</t>
  </si>
  <si>
    <t>Ps. 119 - Met Al Mijn Kracht</t>
  </si>
  <si>
    <t>Heel mijn leven wil ik wijden</t>
  </si>
  <si>
    <t>Als j' een echte christen bent</t>
  </si>
  <si>
    <t>Ps. 121 - Waar Komt Mijn Hulp Vandaan?</t>
  </si>
  <si>
    <t>Ik vouw mijn handen, Heer</t>
  </si>
  <si>
    <t>De vensters des hemels zijn open</t>
  </si>
  <si>
    <t>Ps. 139 - Heer Die Mij Ziet Zoals Ik Ben</t>
  </si>
  <si>
    <t>Eens was ik onverschillig</t>
  </si>
  <si>
    <t>Ps. 118 - Feestzang</t>
  </si>
  <si>
    <t>Volgen wil ik U, o trouwe Heer</t>
  </si>
  <si>
    <t>Hohohohosanna</t>
  </si>
  <si>
    <t>Ps. 150 - Halleluja!</t>
  </si>
  <si>
    <t>Ik ben zo blij, dat 'k een kind</t>
  </si>
  <si>
    <t>Amen, prijs de Heer</t>
  </si>
  <si>
    <t>David met zijn slinger</t>
  </si>
  <si>
    <t>Ps. 25 - Lord, to You my soul is lifted</t>
  </si>
  <si>
    <t>Weet je wel, o christen</t>
  </si>
  <si>
    <t>Ps. 72 - Prayer for the King</t>
  </si>
  <si>
    <t>Alles wat ik heb</t>
  </si>
  <si>
    <t>Ps. 86 - Teach me Lord</t>
  </si>
  <si>
    <t>Gezegend Hij, die komt</t>
  </si>
  <si>
    <t>Ps. 119 - Happy are those</t>
  </si>
  <si>
    <t>Kind'ren van Jezus</t>
  </si>
  <si>
    <t>Prijst Hem, prijst Hem. Prijst Hem in de morgen</t>
  </si>
  <si>
    <t>Ps. 121 - My help comes from the Lord</t>
  </si>
  <si>
    <t>Wij zingen van Jezus</t>
  </si>
  <si>
    <t>Ps. 134 - You servants of the Lord our God</t>
  </si>
  <si>
    <t>Jezus roept mij, ik zal volgen</t>
  </si>
  <si>
    <t>Ps. 150 - Praise the Lord</t>
  </si>
  <si>
    <t>U houdt uw hand, grote God op deez' aard</t>
  </si>
  <si>
    <t>k Ben zo gelukkig</t>
  </si>
  <si>
    <t>Al moet ik door het druk verkeer</t>
  </si>
  <si>
    <t>Looft de Heer, want Hij is goed, trouw</t>
  </si>
  <si>
    <t>Heilig, heilig, heilig is de Heer onze God</t>
  </si>
  <si>
    <t>Jezus, naam boven alle naam</t>
  </si>
  <si>
    <t>In het midden der gemeente</t>
  </si>
  <si>
    <t>Vader, maak ons één</t>
  </si>
  <si>
    <t>Ik zal U loven, Here</t>
  </si>
  <si>
    <t>Ik verhoog U/Want U, o Heer, bent God, de Allerhoogste</t>
  </si>
  <si>
    <t>De Here is mijn herder</t>
  </si>
  <si>
    <t>Ik vermag alle dingen</t>
  </si>
  <si>
    <t>Groot is uw trouw</t>
  </si>
  <si>
    <t>Ik bouw op U</t>
  </si>
  <si>
    <t>Heer, ik kom tot U, hoor naar mijn gebed</t>
  </si>
  <si>
    <t>Jezus vol liefde</t>
  </si>
  <si>
    <t>Wij eren en aanbidden U</t>
  </si>
  <si>
    <t>In my life</t>
  </si>
  <si>
    <t>Ruach</t>
  </si>
  <si>
    <t>Wij prijzen U als Here</t>
  </si>
  <si>
    <t>U komt de eer en glorie toe</t>
  </si>
  <si>
    <t>Verhoogt de Here, onze God</t>
  </si>
  <si>
    <t>Hoe lieflijk is uw woning</t>
  </si>
  <si>
    <t>De Heer is mijn licht, mijn burcht en mijn redder</t>
  </si>
  <si>
    <t>Halleluja, halleluja, Hij regeert</t>
  </si>
  <si>
    <t>Abba, Vader, U alleen</t>
  </si>
  <si>
    <t>King of kings and Lord of lords</t>
  </si>
  <si>
    <t>Kom maar, wees blij en verheugd</t>
  </si>
  <si>
    <t>In moments like these</t>
  </si>
  <si>
    <t>Hemelse Vader, wat een liefde bent U</t>
  </si>
  <si>
    <t>Hij is de Zoon van God</t>
  </si>
  <si>
    <t>k Vertrouw op U</t>
  </si>
  <si>
    <t>De Heer, uw God, in uw midden</t>
  </si>
  <si>
    <t>Want uit Hem en door Hem</t>
  </si>
  <si>
    <t>U zal ik loven, Heer</t>
  </si>
  <si>
    <t>Immanuël, Immanuël</t>
  </si>
  <si>
    <t>Father, we love You</t>
  </si>
  <si>
    <t>Gods volk wordt uitgeleid</t>
  </si>
  <si>
    <t>Heer, U riep mij</t>
  </si>
  <si>
    <t>Ik hou van U</t>
  </si>
  <si>
    <t>Laat ons juichen</t>
  </si>
  <si>
    <t>O komt, prijst de Heer</t>
  </si>
  <si>
    <t>Prijst de Heer, want de Heer is goed</t>
  </si>
  <si>
    <t>Weest stil en weet</t>
  </si>
  <si>
    <t>Hij is de Almachtige</t>
  </si>
  <si>
    <t>Ik wil zingen van mijn Heer</t>
  </si>
  <si>
    <t>Ik verblijd mij zeer in de Heer</t>
  </si>
  <si>
    <t>Gij zijt mijn God</t>
  </si>
  <si>
    <t>Here der heren</t>
  </si>
  <si>
    <t>Don't build your house</t>
  </si>
  <si>
    <t>Heer, geef mij ook uw waterbronnen</t>
  </si>
  <si>
    <t>k Zal U loven, o Heer</t>
  </si>
  <si>
    <t>O, Heer, U bent groot en almachtig</t>
  </si>
  <si>
    <t>O, komt, aanbidt</t>
  </si>
  <si>
    <t>Omdat we in U geloven</t>
  </si>
  <si>
    <t>U bent de grote Koning</t>
  </si>
  <si>
    <t>Samen in de naam van Jezus</t>
  </si>
  <si>
    <t>Wij zien Jezus nu gekroond</t>
  </si>
  <si>
    <t>Ik leef omdat mijn Heer is verrezen</t>
  </si>
  <si>
    <t>Jezus, Jezus, uw liefde raakte mij aan</t>
  </si>
  <si>
    <t>Door mijn God zal 'k strijdend</t>
  </si>
  <si>
    <t>Heer, ik verheug m'in U en ik juich</t>
  </si>
  <si>
    <t>Heilig is de Heer</t>
  </si>
  <si>
    <t>Juicht, want Jezus is Heer</t>
  </si>
  <si>
    <t>In de stilte van mijn hart</t>
  </si>
  <si>
    <t>Bedenk al wat waar is</t>
  </si>
  <si>
    <t>Waardig, o waardig bent U, Heer</t>
  </si>
  <si>
    <t>k Hef mijn roep tot U, o Heer</t>
  </si>
  <si>
    <t>Bron van licht en leven</t>
  </si>
  <si>
    <t>Majesteit</t>
  </si>
  <si>
    <t>O, Heer, U bent mijn God</t>
  </si>
  <si>
    <t>U mag ik kennen o Heer</t>
  </si>
  <si>
    <t>Wie op de Heer vertrouwen</t>
  </si>
  <si>
    <t>Jezus is de Heer, Koning voor altijd</t>
  </si>
  <si>
    <t>Hoe lieflijk op de bergen</t>
  </si>
  <si>
    <t>Open mijn ogen, 'k wil Jezus, mijn Heer zien</t>
  </si>
  <si>
    <t>Laat de heerlijkheid des Heren</t>
  </si>
  <si>
    <t>Zegen ons Heer</t>
  </si>
  <si>
    <t>Waarlijk, mijn ziel</t>
  </si>
  <si>
    <t>Kom en prijs de Here, onze God</t>
  </si>
  <si>
    <t>Ik kom in uw heiligdom binnen</t>
  </si>
  <si>
    <t>Toon ons uw macht, o God</t>
  </si>
  <si>
    <t>U, o Heer, bent een schild</t>
  </si>
  <si>
    <t>Zing een lied tot de Heer</t>
  </si>
  <si>
    <t>Heer, U bent wonderschoon</t>
  </si>
  <si>
    <t>Laat ons loflied voor U zijn als reukwerk</t>
  </si>
  <si>
    <t>Eer aan het Lam</t>
  </si>
  <si>
    <t>Geloofd zijt Gij, o Heer</t>
  </si>
  <si>
    <t>Wij danken U, Heer God almachtig</t>
  </si>
  <si>
    <t>De Heer leert hoe ik strijden moet</t>
  </si>
  <si>
    <t>Ik wil U prijzen Heer</t>
  </si>
  <si>
    <t>Maak mij zoals U, Heer</t>
  </si>
  <si>
    <t>U Heer, bent wonderschoon</t>
  </si>
  <si>
    <t>Dank U Jezus, dank U Jezus</t>
  </si>
  <si>
    <t>Welzalig Hij, wiens God de Here is/Mijn God, ik zal U verhogen</t>
  </si>
  <si>
    <t>En ik zag en hoorde een stem</t>
  </si>
  <si>
    <t>Zing halleluja en hef in geloof</t>
  </si>
  <si>
    <t>Wie is aan U gelijk</t>
  </si>
  <si>
    <t>O, die zaal'ge vreugd</t>
  </si>
  <si>
    <t>Ziet de dag is daar</t>
  </si>
  <si>
    <t>U zij de glorie opgestane Heer</t>
  </si>
  <si>
    <t>Ik wandel in het licht met Jezus</t>
  </si>
  <si>
    <t>De Heer is mijn herder en geen ding</t>
  </si>
  <si>
    <t>Staand' op de beloften</t>
  </si>
  <si>
    <t>O, welk een wond're Verlosser</t>
  </si>
  <si>
    <t>Is hier een hart, door vrees benard</t>
  </si>
  <si>
    <t>Juicht, aarde! Juicht alom de Heer</t>
  </si>
  <si>
    <t>Volle verzeek'ring, Jezus is mijn!</t>
  </si>
  <si>
    <t>Prijst de Heer met blijde galmen</t>
  </si>
  <si>
    <t>Doorgrond mijn hart</t>
  </si>
  <si>
    <t>Jezus, uw naam zij d'hoogste eer</t>
  </si>
  <si>
    <t>Komt, laat ons zingen al te zaam</t>
  </si>
  <si>
    <t>Verblijdt u in Jezus, uw Heer</t>
  </si>
  <si>
    <t>Ik wil zingen van mijn Heiland</t>
  </si>
  <si>
    <t>O heilig Lam van God</t>
  </si>
  <si>
    <t>Wij zijn hier bijeen in Jezus' naam</t>
  </si>
  <si>
    <t>O, geeft aan de Heer</t>
  </si>
  <si>
    <t>Want Ik maak Mij een geest'lijke tempel</t>
  </si>
  <si>
    <t>Als wij zingend komen voor zijn majesteit</t>
  </si>
  <si>
    <t>Lof, eer, aanbidding voor U, Heer Jezus</t>
  </si>
  <si>
    <t>Koning Jezus, heers</t>
  </si>
  <si>
    <t>Komt nu zijn poorten met dankzegging binnen</t>
  </si>
  <si>
    <t>t Is nu het uur</t>
  </si>
  <si>
    <t>Heilig, heilig, heilig, Here God almachtig</t>
  </si>
  <si>
    <t>Jezus, wij verhogen U</t>
  </si>
  <si>
    <t>U bent waardig, dat wij U prijzen</t>
  </si>
  <si>
    <t>Kom, Leeuw van Juda en Gods Zoon</t>
  </si>
  <si>
    <t>Hosanna, hosanna, de Koning komt</t>
  </si>
  <si>
    <t>Zing tot de glorie van God</t>
  </si>
  <si>
    <t>Met vreugde zal ik tot U zingen Heer</t>
  </si>
  <si>
    <t>Jezus is Heer, je ziet het om je heen</t>
  </si>
  <si>
    <t>Welzalig de man, die niet wandelt</t>
  </si>
  <si>
    <t>Hier in uw heiligdom</t>
  </si>
  <si>
    <t>Koning Jezus, prijst Koning Jezus</t>
  </si>
  <si>
    <t>Shalom, shalom, shalom</t>
  </si>
  <si>
    <t>God is getrouw, zijn plannen falen niet</t>
  </si>
  <si>
    <t>Heer, wat een voorrecht/Samen werken</t>
  </si>
  <si>
    <t>Hosanna, Zoon van David/Zingt Gode, psalmzingt zijn naam</t>
  </si>
  <si>
    <t>Zing een vrolijk liedje voor Immanuël</t>
  </si>
  <si>
    <t>Heer, doorgrond mijn hart</t>
  </si>
  <si>
    <t>Heilig, heilig, heilig Heer</t>
  </si>
  <si>
    <t>Prijs nu de Heer</t>
  </si>
  <si>
    <t>k Wil U prijzen Heer</t>
  </si>
  <si>
    <t>Jezus Christus, ik aanbid U</t>
  </si>
  <si>
    <t>Uw lieflijk aangezicht</t>
  </si>
  <si>
    <t>Blijdschap vervult mijn hart vandaag</t>
  </si>
  <si>
    <t>Want zijn naam is verheven</t>
  </si>
  <si>
    <t>Het is volbracht</t>
  </si>
  <si>
    <t>Abba Vader</t>
  </si>
  <si>
    <t>Sta op, o kind'ren van Israël</t>
  </si>
  <si>
    <t>Er is een Verlosser</t>
  </si>
  <si>
    <t>Waardig is het Lam, alle lof</t>
  </si>
  <si>
    <t>Groot is de Heer en machtig</t>
  </si>
  <si>
    <t>Heer, U leidde mij in de wildernis</t>
  </si>
  <si>
    <t>Groot is de Heer, Hij is heilig en goed</t>
  </si>
  <si>
    <t>Hij kwam bij ons, heel gewoon</t>
  </si>
  <si>
    <t>Baruch ha-Shem Adonai</t>
  </si>
  <si>
    <t>Wie is God behalve onze Heer?</t>
  </si>
  <si>
    <t>Want U bent machtig</t>
  </si>
  <si>
    <t>Ik dank U wel, mijn Vader</t>
  </si>
  <si>
    <t>Lofoffers brengen wij aan U</t>
  </si>
  <si>
    <t>God is goed, komt, zingt en jubelt</t>
  </si>
  <si>
    <t>Wij zijn hier gekomen</t>
  </si>
  <si>
    <t>Laat heel de wereld het zien</t>
  </si>
  <si>
    <t>Machtig God, sterke Rots</t>
  </si>
  <si>
    <t>Juicht de Here, gij ganse aarde</t>
  </si>
  <si>
    <t>Ik wil zingen halleluja</t>
  </si>
  <si>
    <t>Majesteit, wij eren U, Majesteit</t>
  </si>
  <si>
    <t>Als een hert dat verlangt naar water</t>
  </si>
  <si>
    <t>k Zegen U, Heer</t>
  </si>
  <si>
    <t>Eer aan de Vader</t>
  </si>
  <si>
    <t>Maak groot de Here</t>
  </si>
  <si>
    <t>Ik hou van U, o Heer</t>
  </si>
  <si>
    <t>Zing een vreugdelied</t>
  </si>
  <si>
    <t>Prijs Hem, prijs Hem, geef Hem dank en eer</t>
  </si>
  <si>
    <t>Hef je hoofd omhoog</t>
  </si>
  <si>
    <t>U hebt de overwinning behaald</t>
  </si>
  <si>
    <t>Hemelse Vader, hoor, wij eren U</t>
  </si>
  <si>
    <t>Vader God, ik ben vol lof</t>
  </si>
  <si>
    <t>Laat mijn leven tot eer zijn van uw naam</t>
  </si>
  <si>
    <t>Bereidt de weg van de Heer</t>
  </si>
  <si>
    <t>Glorie, glorie, glorie aan het Lam</t>
  </si>
  <si>
    <t>Geef eer aan God in de hoge</t>
  </si>
  <si>
    <t>U bent waardig, Heer Jehova</t>
  </si>
  <si>
    <t>Wat geen oog heeft gezien (van Engelenhoven)</t>
  </si>
  <si>
    <t>Hosanna, hosanna, hosanna in de hoge</t>
  </si>
  <si>
    <t>Wees blij, want Hij, Koning Jezus</t>
  </si>
  <si>
    <t>De aard' is van God en al wat daarin is</t>
  </si>
  <si>
    <t>Wij verklaren: Gods Koninkrijk is hier</t>
  </si>
  <si>
    <t>Uw naam is als balsem voor 't hart</t>
  </si>
  <si>
    <t>Jezus, ik houd van U</t>
  </si>
  <si>
    <t>Halleluja, Adonai</t>
  </si>
  <si>
    <t>Wees stil en weet, dat Hij is uw God</t>
  </si>
  <si>
    <t>Ons leven is uit God</t>
  </si>
  <si>
    <t>Verblijdt u, zonen Gods</t>
  </si>
  <si>
    <t>O laat Gods Zoon je thans omhullen</t>
  </si>
  <si>
    <t>Geef Hem nu glorie en lofprijs en ere</t>
  </si>
  <si>
    <t>U bent het lied van mijn hart</t>
  </si>
  <si>
    <t>k Heb geloofd en daarom zing ik</t>
  </si>
  <si>
    <t>Mildheid en majesteit</t>
  </si>
  <si>
    <t>In een donker graf gevangen</t>
  </si>
  <si>
    <t>Geprezen zij de Heer voor zijn liefde en kracht</t>
  </si>
  <si>
    <t>Heer, uw bloed dat reinigt mij</t>
  </si>
  <si>
    <t>Bij uw rivier wil ik komen, o Heer</t>
  </si>
  <si>
    <t>Ik zal mijn water gieten</t>
  </si>
  <si>
    <t>Eet het brood met Mij</t>
  </si>
  <si>
    <t>Veni Creator Spiritus (van Setten)</t>
  </si>
  <si>
    <t>Ere zij aan God, de Vader</t>
  </si>
  <si>
    <t>Jubel, jubel dochter Sions</t>
  </si>
  <si>
    <t>De Heer is mijn kracht en mijn lied</t>
  </si>
  <si>
    <t>Aan Hem die zit op de troon</t>
  </si>
  <si>
    <t>Ik wil komen en knielen aan uw voeten</t>
  </si>
  <si>
    <t>O, de glorie van uw wezen</t>
  </si>
  <si>
    <t>Ik verhoog uw naam</t>
  </si>
  <si>
    <t>Jezus, ik hou van U (Del Hierro)</t>
  </si>
  <si>
    <t>Heer, ontferm U over ons</t>
  </si>
  <si>
    <t>U bent Heer van de schepping</t>
  </si>
  <si>
    <t>Gods bazuinen klinken luid</t>
  </si>
  <si>
    <t>Breng dank aan de Eeuwige</t>
  </si>
  <si>
    <t>U, o Heer, bent de Allerhoogste</t>
  </si>
  <si>
    <t>Heer, U bent El Elohim</t>
  </si>
  <si>
    <t>Heer, uw licht en uw liefde schijnen</t>
  </si>
  <si>
    <t>U bent waardig te ontvangen</t>
  </si>
  <si>
    <t>Heilig, heilig, heilig is de Heer</t>
  </si>
  <si>
    <t>Mijn hoop is op U Heer</t>
  </si>
  <si>
    <t>U bent mij zo kostbaar o Heer</t>
  </si>
  <si>
    <t>O, kom nu en jubel</t>
  </si>
  <si>
    <t>Vader, U bent mijn erfdeel voor altijd</t>
  </si>
  <si>
    <t>Open je hart</t>
  </si>
  <si>
    <t>Meer liefde, meer kracht</t>
  </si>
  <si>
    <t>Heilige Geest van God, vul opnieuw mijn hart</t>
  </si>
  <si>
    <t>De Here bouwt aan Jeruzalem</t>
  </si>
  <si>
    <t>Jezus het Lam, Jezus het Lam</t>
  </si>
  <si>
    <t>Maak ons tot een stralend licht</t>
  </si>
  <si>
    <t>Ik geloof in God de Vader, Schepper, die de schepping draagt</t>
  </si>
  <si>
    <t>Heer van mijn hart</t>
  </si>
  <si>
    <t>Hij is verheerlijkt</t>
  </si>
  <si>
    <t>Vader, vol van vrees en schaamte</t>
  </si>
  <si>
    <t>Jezus geeft een loflied in ons hart</t>
  </si>
  <si>
    <t>Christus, onze Heer, verrees</t>
  </si>
  <si>
    <t>Kom met uw genade, Heer</t>
  </si>
  <si>
    <t>U die mij geschapen hebt</t>
  </si>
  <si>
    <t>Heer, ik wil U prijzen</t>
  </si>
  <si>
    <t>Lof zij de Heer, die ons doet triomferen</t>
  </si>
  <si>
    <t>Titel SvG</t>
  </si>
  <si>
    <t>Uw tederheid genas</t>
  </si>
  <si>
    <t>De hemel juicht</t>
  </si>
  <si>
    <t>Dit is heil'ge grond</t>
  </si>
  <si>
    <t>Als David dans ik uit alle macht</t>
  </si>
  <si>
    <t>Baruch Ha Ba B'Shem Adonai</t>
  </si>
  <si>
    <t>Kom laat ons buigen voor de Heer</t>
  </si>
  <si>
    <t>Prijs onze Heer</t>
  </si>
  <si>
    <t>k Aanbid U, Heer, almachtig God</t>
  </si>
  <si>
    <t>Kroon Hem met gouden kroon</t>
  </si>
  <si>
    <t>Dan bent U met ons</t>
  </si>
  <si>
    <t>Als God zijn stem doet horen in Israël</t>
  </si>
  <si>
    <t>Breng ons in evenwicht</t>
  </si>
  <si>
    <t>Hoor, o Israël</t>
  </si>
  <si>
    <t>Door uw genade, Vader</t>
  </si>
  <si>
    <t>Licht Aan</t>
  </si>
  <si>
    <t>Met Open Armen</t>
  </si>
  <si>
    <t>Een vaste burcht is onze God</t>
  </si>
  <si>
    <t>God van de aarde</t>
  </si>
  <si>
    <t>Wat Gaan We Nu Doen</t>
  </si>
  <si>
    <t>Heer, U gaf aan mij uw vreugdeolie</t>
  </si>
  <si>
    <t>Wat hebben we gedaan</t>
  </si>
  <si>
    <t>U verzadigt mij met uw liefde, Heer</t>
  </si>
  <si>
    <t>Maak Ons Hart Onrustig</t>
  </si>
  <si>
    <t>Voor de allerhoogste Heer</t>
  </si>
  <si>
    <t>Ontvang de zegen</t>
  </si>
  <si>
    <t>Kijken met uw ogen</t>
  </si>
  <si>
    <t>Miljoenen stemmen</t>
  </si>
  <si>
    <t>Handen van God</t>
  </si>
  <si>
    <t>De zevende dag</t>
  </si>
  <si>
    <t>Eindelijk weer kind</t>
  </si>
  <si>
    <t>Hoelang nog, Heer</t>
  </si>
  <si>
    <t>Wanneer uw regen valt</t>
  </si>
  <si>
    <t>Elke dag uw zegen mee</t>
  </si>
  <si>
    <t>Laat ons kijken naar de aarde</t>
  </si>
  <si>
    <t>Weinig Is Veel</t>
  </si>
  <si>
    <t>Met hemelse wapens</t>
  </si>
  <si>
    <t>Heer, Vergeef Ons</t>
  </si>
  <si>
    <t>God Woont Bij De Mensen</t>
  </si>
  <si>
    <t>Heer ontferm U</t>
  </si>
  <si>
    <t>De Heer regeert</t>
  </si>
  <si>
    <t>God met ons</t>
  </si>
  <si>
    <t>Wat een kunstenaar</t>
  </si>
  <si>
    <t>Maak ons een leger, o Heer</t>
  </si>
  <si>
    <t>Hemel Dichterbij</t>
  </si>
  <si>
    <t>Zeeën van recht</t>
  </si>
  <si>
    <t>Wat de toekomst brengen moge</t>
  </si>
  <si>
    <t>Schepper God</t>
  </si>
  <si>
    <t>Ik wil jou van harte dienen</t>
  </si>
  <si>
    <t>Maak ons een zegen voor uw schepping</t>
  </si>
  <si>
    <t>Thuis Bij Hem</t>
  </si>
  <si>
    <t>Heerlijk is uw naam</t>
  </si>
  <si>
    <t>Lieve God</t>
  </si>
  <si>
    <t>Zo Eerlijk Als God</t>
  </si>
  <si>
    <t>Koning van Sjaloom</t>
  </si>
  <si>
    <t>Maak ons nuttig</t>
  </si>
  <si>
    <t>De zaligheid is van God</t>
  </si>
  <si>
    <t>O Heer, de nacht komt over ons</t>
  </si>
  <si>
    <t>Geest van hierboven, leer ons geloven</t>
  </si>
  <si>
    <t>De dag, door uwe gunst ontvangen</t>
  </si>
  <si>
    <t>Mijn vrede laat Ik u</t>
  </si>
  <si>
    <t>Lof zij de Heer, de almachtige Koning der ere</t>
  </si>
  <si>
    <t>Groot en machtig is Hij</t>
  </si>
  <si>
    <t>De woestijn zal bloeien als een roos</t>
  </si>
  <si>
    <t>Create in me a clean heart</t>
  </si>
  <si>
    <t>Ik belijd: ons land heeft gezondigd</t>
  </si>
  <si>
    <t>Welkom, Heil'ge Geest van God</t>
  </si>
  <si>
    <t>Mijn Jezus, ik hou van U</t>
  </si>
  <si>
    <t>Lam van God, Heilige</t>
  </si>
  <si>
    <t>Genade en vrede zij u van de Vader</t>
  </si>
  <si>
    <t>Zing met luid gejubel</t>
  </si>
  <si>
    <t>Het Feest / Hoor de bazuin, de hemel zingt!</t>
  </si>
  <si>
    <t>Jezus woont in mijn hart</t>
  </si>
  <si>
    <t>Leid mij naar uw heiligdom</t>
  </si>
  <si>
    <t>Vader God, ik vraag me af</t>
  </si>
  <si>
    <t>Liefde was het</t>
  </si>
  <si>
    <t>Koning Jezus, wij verhogen U</t>
  </si>
  <si>
    <t>Vader, Zoon en Geest</t>
  </si>
  <si>
    <t>Kom en help ons oogsten</t>
  </si>
  <si>
    <t>Wij gaan op weg</t>
  </si>
  <si>
    <t>Er is maar één God</t>
  </si>
  <si>
    <t>In uw naam komen wij</t>
  </si>
  <si>
    <t>O, Heer mijn God, wanneer ik in verwond'ring</t>
  </si>
  <si>
    <t>Israël, verheug u in uw maker</t>
  </si>
  <si>
    <t>Heel mijn hart jubelt voor de Heer</t>
  </si>
  <si>
    <t>O, maak de Heer nu groot met mij</t>
  </si>
  <si>
    <t>Geprezen zij de Here</t>
  </si>
  <si>
    <t>Komt tot Mij</t>
  </si>
  <si>
    <t>Hoe kom ik van zonde vrij?/Leid mij naar het kruis van Jezus</t>
  </si>
  <si>
    <t>U zond uw Zoon, onschuldig, rein</t>
  </si>
  <si>
    <t>Toon je dank aan de Heer</t>
  </si>
  <si>
    <t>Jezus is Koning over de aarde</t>
  </si>
  <si>
    <t>Heer, U draagt de hoogste kroon</t>
  </si>
  <si>
    <t>Als ik opzie naar uw heiligheid</t>
  </si>
  <si>
    <t>U bent God en wij prijzen U</t>
  </si>
  <si>
    <t>Geen andere naam</t>
  </si>
  <si>
    <t>Ja, ik wil U volgen</t>
  </si>
  <si>
    <t>U wil ik kennen</t>
  </si>
  <si>
    <t>Ik zing en juich voor mijn verlosser</t>
  </si>
  <si>
    <t>Ik wil zingen voor de Koning</t>
  </si>
  <si>
    <t>Er is geen grens</t>
  </si>
  <si>
    <t>Ja, ik geloof in Jezus</t>
  </si>
  <si>
    <t>Dwars door het vuur/ Maak mij rein voor U</t>
  </si>
  <si>
    <t>Genade, zo oneindig groot</t>
  </si>
  <si>
    <t>God wijst mij een weg</t>
  </si>
  <si>
    <t>Heer, ik prijs uw grote naam</t>
  </si>
  <si>
    <t>Laat een loflied op je lippen zijn</t>
  </si>
  <si>
    <t>Kom en prijs</t>
  </si>
  <si>
    <t>Groter is Hij die in mij is</t>
  </si>
  <si>
    <t>Tot zijn eer en heerlijkheid</t>
  </si>
  <si>
    <t>Heer, uw koninkrijk breekt baan</t>
  </si>
  <si>
    <t>Onze Vader (Marcel Zimmer)</t>
  </si>
  <si>
    <t>Verhoog de Here God</t>
  </si>
  <si>
    <t>Ik buig neer</t>
  </si>
  <si>
    <t>Machtig is de naam van de Heer</t>
  </si>
  <si>
    <t>Machtig zijn al uw daden, Heer</t>
  </si>
  <si>
    <t>De kracht van Jezus</t>
  </si>
  <si>
    <t>Prijst Hem, prijst Hem</t>
  </si>
  <si>
    <t>Voor eeuwig dankbaar/U wachtte niet op mij, want ik dwaalde af</t>
  </si>
  <si>
    <t>Heel mijn ziel roept naar U</t>
  </si>
  <si>
    <t>Bron van levend water</t>
  </si>
  <si>
    <t>Daar is kracht/Wilt u van zonde en schuld zijn verlost</t>
  </si>
  <si>
    <t>Ik ben vrijgekocht</t>
  </si>
  <si>
    <t>Hij, die de Zoon bevrijdt</t>
  </si>
  <si>
    <t>k Ben zo blij</t>
  </si>
  <si>
    <t>Laat uw kracht zien/Jezus regeert op zijn eeuwige troon</t>
  </si>
  <si>
    <t>Ik hef mijn ogen</t>
  </si>
  <si>
    <t>Kom, o Heil'ge Geest van God</t>
  </si>
  <si>
    <t>Jezus, Jezus, heilige gezalfde Heer</t>
  </si>
  <si>
    <t>Eeuwige God/Zegen, aanbidding</t>
  </si>
  <si>
    <t>Wij gaan door over grenzen</t>
  </si>
  <si>
    <t>Niet de macht van wapenen</t>
  </si>
  <si>
    <t>Kom prijs de Heer</t>
  </si>
  <si>
    <t>De Heer is hier in glorie en luister</t>
  </si>
  <si>
    <t>Daar bij de rivier/Levend water, verfrissend, vrij;</t>
  </si>
  <si>
    <t>Wat mij dierbaar was</t>
  </si>
  <si>
    <t>Juich voor de Heer/Mijn Jezus, mijn redder</t>
  </si>
  <si>
    <t>Aan uw voeten Heer</t>
  </si>
  <si>
    <t>Vader, daal nu met uw Geest neer</t>
  </si>
  <si>
    <t>Ik prijs U Heer, God van 't heelal</t>
  </si>
  <si>
    <t>Wandel in het licht</t>
  </si>
  <si>
    <t>Zend uw vuur/Wij zijn zout en wij zijn licht</t>
  </si>
  <si>
    <t>Wij willen dat Jezus wordt verhoogd</t>
  </si>
  <si>
    <t>Halleluja, Jezus Christus leeft!</t>
  </si>
  <si>
    <t>Omdat U zoveel van mij hield/Heer, als ik denk aan wat U voor mij deed</t>
  </si>
  <si>
    <t>Heer, raak mijn hart aan</t>
  </si>
  <si>
    <t>Geloof, hoop en liefde/Blaas met de adem van uw Geest op ons</t>
  </si>
  <si>
    <t>Dansend over de gouden straten/Zing een heerlijk lied van vreugde</t>
  </si>
  <si>
    <t>Niemand is als U</t>
  </si>
  <si>
    <t>Majesteit, Koning in eeuwigheid</t>
  </si>
  <si>
    <t>O, wat een machtige God</t>
  </si>
  <si>
    <t>Jezus, wij vieren dat U overwon</t>
  </si>
  <si>
    <t>Speel nu luid op de trompet</t>
  </si>
  <si>
    <t>Wij zijn meer dan overwinnaars</t>
  </si>
  <si>
    <t>U stierf voor mij, mijn Jezus</t>
  </si>
  <si>
    <t>Ik aanbid U</t>
  </si>
  <si>
    <t>De Heer onze God: Hij is Koning</t>
  </si>
  <si>
    <t>O zie, de Heer zit op zijn troon</t>
  </si>
  <si>
    <t>Ik wil altijd zijn waar U bent</t>
  </si>
  <si>
    <t>Wij doorbreken elke muur/Er is een plaats waar de Heer ons zegent</t>
  </si>
  <si>
    <t>Ga dan in zijn naam/Wij zijn Gods kind'ren</t>
  </si>
  <si>
    <t>O Heer, giet een stroom</t>
  </si>
  <si>
    <t>Heer, ik kom tot U, neem mijn hart</t>
  </si>
  <si>
    <t>U bent Vader van de schepping/Wij willen U ontmoeten</t>
  </si>
  <si>
    <t>Luid gejuich en jubellied vervullen het huis</t>
  </si>
  <si>
    <t>Kom, wees blij in de Heer</t>
  </si>
  <si>
    <t>Groot is de luister van Jezus/Wie kleurt de zon als de dag openbloeit</t>
  </si>
  <si>
    <t>Jezus, wat een heerlijke naam</t>
  </si>
  <si>
    <t>Uw liefde heb ik lief/Soms als ik uw liefde voel</t>
  </si>
  <si>
    <t>Hemelse Vader, door uw genade</t>
  </si>
  <si>
    <t>Kadosh / Heilig</t>
  </si>
  <si>
    <t>Ik wil leven door uw Geest</t>
  </si>
  <si>
    <t>Alleen door U/Er is een stad met gouden straten</t>
  </si>
  <si>
    <t>Hij komt in majesteit/Zie het Lam van God: Hij nadert</t>
  </si>
  <si>
    <t>Heer, ik prijs uw naam</t>
  </si>
  <si>
    <t>Laat uw vrede heersen/Vader, mijn God, ik aanbid U</t>
  </si>
  <si>
    <t>Jezus, ik wil heel dicht bij U komen</t>
  </si>
  <si>
    <t>Overvloedig geef Ik u / Vrede zij u(overvloedig)</t>
  </si>
  <si>
    <t>Roep het luid/Hoor, een roep klinkt wereldwijd</t>
  </si>
  <si>
    <t>Toon uw heerlijkheid/Vader van de schepping</t>
  </si>
  <si>
    <t>Zing het lied van het Lam/Ik zing van het Lam</t>
  </si>
  <si>
    <t>t Is goed om U te ontmoeten</t>
  </si>
  <si>
    <t>God is zo groot</t>
  </si>
  <si>
    <t>Dit is mijn verlangen/ Ik geef U mijn hart</t>
  </si>
  <si>
    <t>Heer van genade/Maak mijn hart vol van uw heerlijkheid</t>
  </si>
  <si>
    <t>Wij verhogen U</t>
  </si>
  <si>
    <t>Halleluja, halleluja, halleluja/ De almachtige God</t>
  </si>
  <si>
    <t>I went to the enemy’s camp</t>
  </si>
  <si>
    <t>Can you believe</t>
  </si>
  <si>
    <t>Look what the Lord has done</t>
  </si>
  <si>
    <t>Gezegend zijn zij</t>
  </si>
  <si>
    <t>Heer, U bent altijd bij mij/Heer, U doorgrondt en kent mij</t>
  </si>
  <si>
    <t>Ik vertrouw op U</t>
  </si>
  <si>
    <t>Wees mijn verlangen</t>
  </si>
  <si>
    <t>Ik ren naar U toe/U zorgt voor heel de schepping</t>
  </si>
  <si>
    <t>Er komt een tijd van grote opwekking/Vader, stort uw Geest uit</t>
  </si>
  <si>
    <t>De sterre gaat stralen/Laat ieder het horen</t>
  </si>
  <si>
    <t>Het licht verschijnt/Als 's morgens de zon opgaat</t>
  </si>
  <si>
    <t>Jubel het uit</t>
  </si>
  <si>
    <t>Goed nieuws, goed nieuws</t>
  </si>
  <si>
    <t>Licht in de nacht</t>
  </si>
  <si>
    <t>Hoor, de engelen zingen de eer</t>
  </si>
  <si>
    <t>Komt, laten wij aanbidden</t>
  </si>
  <si>
    <t>Bewijs nu eer aan Jezus’ naam</t>
  </si>
  <si>
    <t>Immanuël, o Immanuël</t>
  </si>
  <si>
    <t>Wees gerust</t>
  </si>
  <si>
    <t>Eén klein kind</t>
  </si>
  <si>
    <t>Jezus, Gods heerlijkheid verschijnt</t>
  </si>
  <si>
    <t>In het stro van een geleende kribbe</t>
  </si>
  <si>
    <t>Kind van het licht (Zuiderveld)/Hoe lang heeft de mensheid gebeden</t>
  </si>
  <si>
    <t>Ere zij God, ere zij God</t>
  </si>
  <si>
    <t>Liednummer en of -titel</t>
  </si>
  <si>
    <t>Eerste regel</t>
  </si>
  <si>
    <t>De Koning komt, dit is het uur</t>
  </si>
  <si>
    <t>Dankdag</t>
  </si>
  <si>
    <t>Band</t>
  </si>
  <si>
    <t>Kom, nu is de tijd: aanbid Hem</t>
  </si>
  <si>
    <t>cantorij</t>
  </si>
  <si>
    <t>Kerst</t>
  </si>
  <si>
    <t>Nieuwjaarsdag, geen begeleiding</t>
  </si>
  <si>
    <t>Gastorganist</t>
  </si>
  <si>
    <t>band</t>
  </si>
  <si>
    <t>Kom, laten wij aanbidden/Hij mat de wateren met zijn hand</t>
  </si>
  <si>
    <t>Alles is mogelijk/Almachtig God die mij bevrijdt</t>
  </si>
  <si>
    <t>Gereformeerd kerkboek 2006 106</t>
  </si>
  <si>
    <t>God van trouw</t>
  </si>
  <si>
    <t>Gereformeerd kerkboek 2006 170</t>
  </si>
  <si>
    <t>U bent de Heer die ik dien/U maakte mij tot een ander mens</t>
  </si>
  <si>
    <t>Vaste rots van mijn behoud</t>
  </si>
  <si>
    <t>Meer dan ooit/Meer dan rijkdom, meer dan macht</t>
  </si>
  <si>
    <t>Op dat moment/Jezus, Heer, wanneer ik aan uw offer denk</t>
  </si>
  <si>
    <t>Gereformeerd kerkboek 2006 37</t>
  </si>
  <si>
    <t>Nabij Gods hoog verheven troon</t>
  </si>
  <si>
    <t>Gereformeerd kerkboek 2006 48</t>
  </si>
  <si>
    <t>Gereformeerd kerkboek 2006 50</t>
  </si>
  <si>
    <t>Gereformeerd kerkboek 2006 79</t>
  </si>
  <si>
    <t>Gereformeerd kerkboek 2017 177</t>
  </si>
  <si>
    <t>Vrolijk lied/Ik kan wel blijven zingen</t>
  </si>
  <si>
    <t>Hemelhoog 367</t>
  </si>
  <si>
    <t>Hart van aanbidding/ De muziek vervaagt</t>
  </si>
  <si>
    <t>Wij blijven geloven dat onder miljoenen</t>
  </si>
  <si>
    <t>Ik kniel neer en belijd</t>
  </si>
  <si>
    <t>liedboek 2013 103c</t>
  </si>
  <si>
    <t>Liefdevol trekt U mij dicht aan uw hart</t>
  </si>
  <si>
    <t>Liedboek 2013 216</t>
  </si>
  <si>
    <t>Dit is een morgen als ooit de eerste</t>
  </si>
  <si>
    <t>Ik zie uit naar de dag</t>
  </si>
  <si>
    <t>Liedboek 2013 250</t>
  </si>
  <si>
    <t>Herstel ons land/Als mijn volk zich vernedert voor Mij</t>
  </si>
  <si>
    <t>Liedboek 2013 304</t>
  </si>
  <si>
    <t>Hoor ons loflied/Laat het feest zijn in de huizen</t>
  </si>
  <si>
    <t>Zing van de Vader die in den beginne</t>
  </si>
  <si>
    <t>Mijn verlosser leeft/Ik weet: Hij heeft mij gered</t>
  </si>
  <si>
    <t>Ik geloof in het bloed van Jezus</t>
  </si>
  <si>
    <t>Liedboek 2013 415</t>
  </si>
  <si>
    <t>Prijst God die ons het leven geeft</t>
  </si>
  <si>
    <t>Liedboek 2013 416</t>
  </si>
  <si>
    <t>Laat uw glorie zien</t>
  </si>
  <si>
    <t>Voor uw grote naam /Wij zijn als adem, U was er altijd</t>
  </si>
  <si>
    <t>Liedboek 2013 433</t>
  </si>
  <si>
    <t>Schijn met uw licht in mijn hart, Heer</t>
  </si>
  <si>
    <t>Mijn eerste liefde doet vuur oplaaien</t>
  </si>
  <si>
    <t>Liedboek 2013 439</t>
  </si>
  <si>
    <t>Nederig van hart/Hier aan uw voeten, Heer</t>
  </si>
  <si>
    <t>Liedboek 2013 598</t>
  </si>
  <si>
    <t>Voor altijd mijn vriend/U noemde mijn bij mijn naam</t>
  </si>
  <si>
    <t>I have a light</t>
  </si>
  <si>
    <t>Liedboek 2013 675</t>
  </si>
  <si>
    <t>Ik loop de wedloop die voor mij ligt</t>
  </si>
  <si>
    <t>Liedboek 2013 704</t>
  </si>
  <si>
    <t>Geest van God, blaas op mij</t>
  </si>
  <si>
    <t>Machtig Heer/Ik verlang naar uw aanwezigheid</t>
  </si>
  <si>
    <t>Jezus, Jezus, Heiland, Redder</t>
  </si>
  <si>
    <t>Liedboek 2013 705</t>
  </si>
  <si>
    <t>Vier nu feest, geef Hem eer</t>
  </si>
  <si>
    <t>Regeer in mij/Over al wat leeft, bent U de hoogste Heer</t>
  </si>
  <si>
    <t>Liedboek 2013 714</t>
  </si>
  <si>
    <t>Liedboek 2013 728</t>
  </si>
  <si>
    <t>Dit is de tijd van Elia</t>
  </si>
  <si>
    <t>Dit is de dag die de Heer ons geeft (Fitts)</t>
  </si>
  <si>
    <t>Als wij samenkomen</t>
  </si>
  <si>
    <t>U bent welkom/We zijn hier bij elkaar</t>
  </si>
  <si>
    <t>Groot is Hij</t>
  </si>
  <si>
    <t>Jezus alleen, ik bouw op Hem</t>
  </si>
  <si>
    <t>Liedboek 2013 747</t>
  </si>
  <si>
    <t>Immanuël/Als wij samen U aanbidden</t>
  </si>
  <si>
    <t>Jezus, allerhoogste naam</t>
  </si>
  <si>
    <t>U redde mij en riep mijn naam</t>
  </si>
  <si>
    <t>Dank U, dank U voor uw kostbare bloed</t>
  </si>
  <si>
    <t>Ik ben zo dankbaar/Jezus, Hij kwam om ons leven te geven</t>
  </si>
  <si>
    <t>liedboek 2013 766</t>
  </si>
  <si>
    <t>Til mij op/Ik wil heel dicht bij U zijn</t>
  </si>
  <si>
    <t>Liedboek 2013 868</t>
  </si>
  <si>
    <t>Lof zij de Heer, de almachtige koning der ere</t>
  </si>
  <si>
    <t>Jezus, alles geef ik U</t>
  </si>
  <si>
    <t>Machtige Heer en God</t>
  </si>
  <si>
    <t>Liedboek 2013 885</t>
  </si>
  <si>
    <t>Groot is uw trouw o Heer</t>
  </si>
  <si>
    <t>Heilig is de Heer onze God/ Zo machtig, zo waardig</t>
  </si>
  <si>
    <t>Liedboek voor de kerken 1973 125</t>
  </si>
  <si>
    <t>Er is een dag</t>
  </si>
  <si>
    <t>Hij is Heer/Heel de schepping geeft U eer</t>
  </si>
  <si>
    <t>opwekking 167</t>
  </si>
  <si>
    <t>U geeft een nieuw lied/Ik was verloren, maar U redde mij</t>
  </si>
  <si>
    <t>Er is geen vriend zo trouw als Jezus</t>
  </si>
  <si>
    <t>Ik wil juichen voor U, mijn Heer</t>
  </si>
  <si>
    <t>opwekking 268</t>
  </si>
  <si>
    <t>O mijn ziel, sta op en prijs je maker</t>
  </si>
  <si>
    <t>Ik zie de Heer</t>
  </si>
  <si>
    <t>opwekking 347</t>
  </si>
  <si>
    <t>God van licht, schijn in mij</t>
  </si>
  <si>
    <t>opwekking 461</t>
  </si>
  <si>
    <t>Lam van God, o, heilig Lam van God</t>
  </si>
  <si>
    <t>Uw naam is heilig/U bent 'Ik ben' op de troon</t>
  </si>
  <si>
    <t>opwekking 581</t>
  </si>
  <si>
    <t>Licht van de wereld</t>
  </si>
  <si>
    <t>Doordrenk mij, Heer/Uw liefde, stralend als de zon</t>
  </si>
  <si>
    <t>opwekking 638</t>
  </si>
  <si>
    <t>Uw liefde is zo prachtig</t>
  </si>
  <si>
    <t>Uw sterke hand/Machtige Heer, grote Verlosser</t>
  </si>
  <si>
    <t>opwekking 640</t>
  </si>
  <si>
    <t>Kom tot de Vader/Nog voordat je bestond</t>
  </si>
  <si>
    <t>opwekking 672</t>
  </si>
  <si>
    <t>Open mijn ogen voor de schoonheid van uw schepping</t>
  </si>
  <si>
    <t>opwekking 710</t>
  </si>
  <si>
    <t>Deel door ons uw liefde uit</t>
  </si>
  <si>
    <t>Vrede van God</t>
  </si>
  <si>
    <t>opwekking 711</t>
  </si>
  <si>
    <t>Vier nu feest, want God is goed/Ruil nu je rouwkleed in</t>
  </si>
  <si>
    <t>opwekking 717</t>
  </si>
  <si>
    <t>Kom en laat ons prijzen</t>
  </si>
  <si>
    <t>opwekking 727</t>
  </si>
  <si>
    <t>Geef ons een lofgewaad, Heer</t>
  </si>
  <si>
    <t>opwekking 769</t>
  </si>
  <si>
    <t>Veilig, veilig, veilig rustend in uw armen, Heer</t>
  </si>
  <si>
    <t>Machtige Redder/Elke dag wil ik zingen van uw liefde</t>
  </si>
  <si>
    <t>opwekking 780</t>
  </si>
  <si>
    <t>Waai met uw Geest, Heer</t>
  </si>
  <si>
    <t>opwekking 789</t>
  </si>
  <si>
    <t>U bent heilig</t>
  </si>
  <si>
    <t>Als gebed de hemel raakt/Wij staan voor uw troon</t>
  </si>
  <si>
    <t>opwekking 807</t>
  </si>
  <si>
    <t>Niet door kracht</t>
  </si>
  <si>
    <t>opwekking 815</t>
  </si>
  <si>
    <t>En ik kom tot U/In uw aanwezigheid</t>
  </si>
  <si>
    <t>opwekking 849</t>
  </si>
  <si>
    <t>Geliefde, Gezegende</t>
  </si>
  <si>
    <t>opwekking kids 185</t>
  </si>
  <si>
    <t>Uw genade is mij genoeg/Zie, hoe Jezus daar loopt in Jeruzalem</t>
  </si>
  <si>
    <t>Waardig is het Lam/Dank U voor het kruis Heer</t>
  </si>
  <si>
    <t>Opwekking kids 233</t>
  </si>
  <si>
    <t>Houd me dicht bij U</t>
  </si>
  <si>
    <t>opwekking kids 77</t>
  </si>
  <si>
    <t>Hij kent mijn naam/Een machtig Maker</t>
  </si>
  <si>
    <t>Psalm 102</t>
  </si>
  <si>
    <t>Jezus, hoop van de volken</t>
  </si>
  <si>
    <t>Sta op en prijs Hem!//Kom nu hemel, wees blij</t>
  </si>
  <si>
    <t>psalm 103</t>
  </si>
  <si>
    <t>Voor eeuwig/Prijs God de Heer die ons leven is</t>
  </si>
  <si>
    <t>Psalm 24</t>
  </si>
  <si>
    <t>U bent mijn anker</t>
  </si>
  <si>
    <t>Psalm 34</t>
  </si>
  <si>
    <t>Groot is de Heer God Almachtig</t>
  </si>
  <si>
    <t>Psalm 36</t>
  </si>
  <si>
    <t>Laat het huis gevuld zijn</t>
  </si>
  <si>
    <t>Psalm 63</t>
  </si>
  <si>
    <t>Wees genadig (Merkel)//De woorden die U sprak, Heer</t>
  </si>
  <si>
    <t>Psalm 65</t>
  </si>
  <si>
    <t>Wat een liefde/Bij U ben ik thuis</t>
  </si>
  <si>
    <t>Psalm 67</t>
  </si>
  <si>
    <t>Prachtige God/Eindeloos, zo eindeloos</t>
  </si>
  <si>
    <t>Psalm 93</t>
  </si>
  <si>
    <t>Jezus, licht in de duisternis</t>
  </si>
  <si>
    <t>Een hoop die zeker is</t>
  </si>
  <si>
    <t>Psalmen voor nu 117</t>
  </si>
  <si>
    <t>Als er vergeving is/Hoe kan ik verder leven</t>
  </si>
  <si>
    <t>Vader, U bent goed/Op elk moment van mijn leven</t>
  </si>
  <si>
    <t>Schrijvers voor Gerechtigheid Met Open Armen</t>
  </si>
  <si>
    <t>U zei: 'Vraag en je zult ontvangen'</t>
  </si>
  <si>
    <t>Wij zijn het leger van God</t>
  </si>
  <si>
    <t>Sela Als alles duister is</t>
  </si>
  <si>
    <t>Agnus Dei (Halleluja)/Halleluja, halleluja, want de Heer God Almachtig regeert</t>
  </si>
  <si>
    <t>Sela Hoor de eng'len zingen d'eer</t>
  </si>
  <si>
    <t>U bent heilig en rechtvaardig</t>
  </si>
  <si>
    <t>Sela Ik zal er zijn</t>
  </si>
  <si>
    <t>Wij zijn bij elkaar om U te eren</t>
  </si>
  <si>
    <t>Alleen een God als U//Eer en glorie van de mens</t>
  </si>
  <si>
    <t>Sela In het licht</t>
  </si>
  <si>
    <t>Erken nu de Heer</t>
  </si>
  <si>
    <t>Sela Jezus' liefde voor mij</t>
  </si>
  <si>
    <t>Prijs Adonai/Wie is als Hij</t>
  </si>
  <si>
    <t>Sela Magnificat</t>
  </si>
  <si>
    <t>Ik heb U lief</t>
  </si>
  <si>
    <t>Mijn hulp is van U, Heer/Ik hef mijn ogen op naar de bergen</t>
  </si>
  <si>
    <t>Sela Mijn herder</t>
  </si>
  <si>
    <t>U heeft mij voor Uzelf gemaakt</t>
  </si>
  <si>
    <t>Sela Toekomst vol van hoop</t>
  </si>
  <si>
    <t>De Rivier/Al mijn zonden, al mijn zorgen</t>
  </si>
  <si>
    <t>Sela Votum en groet</t>
  </si>
  <si>
    <t>Al voor mijn leven is ontstaan</t>
  </si>
  <si>
    <t>Sela Wonderlijk</t>
  </si>
  <si>
    <t>Ik schaam mij niet</t>
  </si>
  <si>
    <t>Ik kies vandaag: ik leef voor U</t>
  </si>
  <si>
    <t>Taize Wait for the Lord</t>
  </si>
  <si>
    <t>Heer, zie uw huis (Psalm 74)</t>
  </si>
  <si>
    <t>Toen U bad werd brood vermeerderd /Liefde, tastbaar</t>
  </si>
  <si>
    <t>The Psalm Project 80</t>
  </si>
  <si>
    <t>Levende offers/U roept ons, Vader</t>
  </si>
  <si>
    <t>Bouw uw Kerk/Jezus, onze Schepper God</t>
  </si>
  <si>
    <t>The Psalm Project God van liefde, God van trouw</t>
  </si>
  <si>
    <t>Daarom komt er nooit een eind/Voor uw schoonheid, ons getoond</t>
  </si>
  <si>
    <t>Er is een rots/U bent het licht in deze tijd</t>
  </si>
  <si>
    <t>Zing voor de Koning</t>
  </si>
  <si>
    <t>Ik zag een kuikentje</t>
  </si>
  <si>
    <t>Kom, o bron van zegeningen</t>
  </si>
  <si>
    <t>De vreugde van U is mijn kracht/Dank U voor deze nieuwe dag</t>
  </si>
  <si>
    <t>Ik prijs U met mijn dans/Ik wil zingen voor de Heer</t>
  </si>
  <si>
    <t>Ontwaak, verhef je stem</t>
  </si>
  <si>
    <t>Eer zij God in deze dagen</t>
  </si>
  <si>
    <t>Zie het kruis/Zie, de dag breekt aan</t>
  </si>
  <si>
    <t>Jezus, uw naam</t>
  </si>
  <si>
    <t>Jezus, stralend licht</t>
  </si>
  <si>
    <t>U bent welkom in dit huis/Bron van leven, stroom van zegen</t>
  </si>
  <si>
    <t>De Koning in zijn pracht/Maak groot onze God</t>
  </si>
  <si>
    <t>Mijn kleine lichtje schijnt</t>
  </si>
  <si>
    <t>God regeert/U bent heilig, heilig Heer</t>
  </si>
  <si>
    <t>Het gaat steeds om U/Jezus, redder van mijn ziel</t>
  </si>
  <si>
    <t>Henoch</t>
  </si>
  <si>
    <t>Wij buigen neer/Rijken en armen</t>
  </si>
  <si>
    <t>Tot aan die dag/Ooit komt er een dag</t>
  </si>
  <si>
    <t>Spreek tot de volken/Hoor het geluid</t>
  </si>
  <si>
    <t>Heer, U bent goed</t>
  </si>
  <si>
    <t>Adonai/Heer van de eeuwigheid</t>
  </si>
  <si>
    <t>Op Hem rust mijn geloof</t>
  </si>
  <si>
    <t>Lof, aanbidding/U schiep zon en maan en sterrenpracht</t>
  </si>
  <si>
    <t>Heerser over alle dingen</t>
  </si>
  <si>
    <t>Heer van de hemelse machten</t>
  </si>
  <si>
    <t>Zie de stroom van Jezus' liefde</t>
  </si>
  <si>
    <t>Al wat leeft/Vader, ik kom in uw heiligdom binnen</t>
  </si>
  <si>
    <t>Welkom in ons midden, Jezus</t>
  </si>
  <si>
    <t>In het diepst van de nacht</t>
  </si>
  <si>
    <t>God van het licht</t>
  </si>
  <si>
    <t>Hij is hier, Hij is bij ons</t>
  </si>
  <si>
    <t>Mijn Redder/Iedereen zoekt naar liefde</t>
  </si>
  <si>
    <t>Hosanna, Hosanna/Ik zie de grote Koning</t>
  </si>
  <si>
    <t>U, de Leeuw van Juda</t>
  </si>
  <si>
    <t>Stap voor stap / Voor eeuwig zingen wij/Heer, U bent mijn God</t>
  </si>
  <si>
    <t>Adembenemend/Uw majesteit is onaantastbaar</t>
  </si>
  <si>
    <t>Hosanna/Met ons lied, Heer</t>
  </si>
  <si>
    <t>God is hier/Uw nabijheid vernieuwt en geneest</t>
  </si>
  <si>
    <t>Heer, wijs mij uw weg</t>
  </si>
  <si>
    <t>Genade zo groot</t>
  </si>
  <si>
    <t>Spreek, o Heer</t>
  </si>
  <si>
    <t>Hij leeft voor eeuwig, amen/Zing het overal</t>
  </si>
  <si>
    <t>Heb de Heer, je God, lief</t>
  </si>
  <si>
    <t>U bent mijn schild//Mijn Heer zal ik altijd prijzen</t>
  </si>
  <si>
    <t>Vaste grond/God, voor U is niets onmogelijk</t>
  </si>
  <si>
    <t>Ik bouw op Jezus, anders niet</t>
  </si>
  <si>
    <t>Stil/Verberg mij nu</t>
  </si>
  <si>
    <t>Onvoorstelbaar, ontzagwekkend</t>
  </si>
  <si>
    <t>Al wat ik ben / Jezus, ik geloof in U</t>
  </si>
  <si>
    <t>Nooit meer alleen/Ook al gaat mijn weg</t>
  </si>
  <si>
    <t>Ik weet: Hij leeft/Wij hebben hoop die zeker is</t>
  </si>
  <si>
    <t>Een nieuwe dag/Kom zing een nieuw lied</t>
  </si>
  <si>
    <t>Hoor de roep van de Koning</t>
  </si>
  <si>
    <t>De God die eeuwig leeft/Er is kracht voor wie hopen op de Heer</t>
  </si>
  <si>
    <t>Zoals een hinde smacht</t>
  </si>
  <si>
    <t>O kerk, sta op</t>
  </si>
  <si>
    <t>Toon mijn liefde/Aan de maaltijd wordt het stil</t>
  </si>
  <si>
    <t>Met diep ontzag/U bent mooier dan ik kan omschrijven</t>
  </si>
  <si>
    <t>Hoe groot is uw trouw, o Heer/Kom, zing voor de Heer</t>
  </si>
  <si>
    <t>De hemel vertelt van Gods heerlijkheid</t>
  </si>
  <si>
    <t>Gebed om zegen/Zegen mij op de weg die ik moet gaan</t>
  </si>
  <si>
    <t>Zijn trouw kleurt de morgen/Zijn trouw houdt mensen op de been</t>
  </si>
  <si>
    <t>Zing voor de Heer</t>
  </si>
  <si>
    <t>Als U het huis niet bouwt/Alles wat ik ben behoort U toe</t>
  </si>
  <si>
    <t>Uw liefde laat nooit los/Al laat de zon zich niet meer zien</t>
  </si>
  <si>
    <t>Wat hou ik van uw huis</t>
  </si>
  <si>
    <t>Wanneer?/Heer, wij kwamen voor U juichen</t>
  </si>
  <si>
    <t>Stil, mijn ziel, wees stil</t>
  </si>
  <si>
    <t>Heilig, heilig, heilig bent U, Heer</t>
  </si>
  <si>
    <t>Onbeschrijfelijk/Van de machtigste berg tot het diepst van de zee</t>
  </si>
  <si>
    <t>God maakt vrij/In de naam van de Vader</t>
  </si>
  <si>
    <t>Heerser over al wat leeft</t>
  </si>
  <si>
    <t>Dat is genade!/Heer, ik dank U voor wat U heeft gedaan</t>
  </si>
  <si>
    <t>Kom, volk van de verrezen Heer</t>
  </si>
  <si>
    <t>Vandaag is de dag/Wat door mijn gedachten gaat</t>
  </si>
  <si>
    <t>Geweldige God/Staar ik in de nacht</t>
  </si>
  <si>
    <t>Anker in de tijd/Er is een onbegrensde liefde</t>
  </si>
  <si>
    <t>Ik val niet uit zijn hand/Mijn God, ik kom naar U, dan ben ik veilig</t>
  </si>
  <si>
    <t>Herstel, o Heer</t>
  </si>
  <si>
    <t>Hij is erbij/Soms brengt God de storm tot stilte</t>
  </si>
  <si>
    <t>Ik herleef/Deze vrede leeft in mij</t>
  </si>
  <si>
    <t>Halleluja Adonai/Jezus, ik hou van U</t>
  </si>
  <si>
    <t>Wat een wonder dat ik meewerken mag</t>
  </si>
  <si>
    <t>Tienduizend redenen/De zon komt op, maakt de morgen wakker</t>
  </si>
  <si>
    <t>God, ik adem om van U te zingen</t>
  </si>
  <si>
    <t>Wie vertrouwen op de Heer</t>
  </si>
  <si>
    <t>In deze gemeente, Gods huisgezin</t>
  </si>
  <si>
    <t>U nodigt mij aan tafel</t>
  </si>
  <si>
    <t>Als ik huil/ Ik kom bij U</t>
  </si>
  <si>
    <t>Sta op -een gebed om ontferming/ U Heer, U hoort</t>
  </si>
  <si>
    <t>Ik bid dat God jou zegent</t>
  </si>
  <si>
    <t>Dit is het Lam, dat onze zonden draagt</t>
  </si>
  <si>
    <t>Jezus, ik kom naar U</t>
  </si>
  <si>
    <t>Vrede voor Jeruzalem /Jeruzalem, de stad van trouw</t>
  </si>
  <si>
    <t>Hoe lang/ Hoort U boven onze stemmen uit</t>
  </si>
  <si>
    <t>De God van de vrede</t>
  </si>
  <si>
    <t>Wij geloven in een keerpunt in de tijd</t>
  </si>
  <si>
    <t>God zegent ons/Heer, zegen ons met onverdiende liefde</t>
  </si>
  <si>
    <t>Hoe kan ik anders/Hoor, hoe een eeuwig lied</t>
  </si>
  <si>
    <t>Eer en glorie/Elohim, de Schepper God</t>
  </si>
  <si>
    <t>Ik zie het kruis</t>
  </si>
  <si>
    <t>Geef God alle eer</t>
  </si>
  <si>
    <t>Symfonie/Nu ik bij U kom in uw heiligdom</t>
  </si>
  <si>
    <t>Kom o Heilige Geest/Heilige Geest van God, adem in ons midden</t>
  </si>
  <si>
    <t>Laat ons Christus zien/Bewerk ons hart, o God</t>
  </si>
  <si>
    <t>Schuilplaats/Ik wil zijn in de schuilplaats van de Allerhoogste</t>
  </si>
  <si>
    <t>Zo goed/Uw liefde is geweldig!</t>
  </si>
  <si>
    <t>Met heel mijn ziel</t>
  </si>
  <si>
    <t>Uw genade is genoeg/Mijn God, wat is uw trouw toch groot</t>
  </si>
  <si>
    <t>Wie vrees ik nog?/U hoort mij als ik bid</t>
  </si>
  <si>
    <t>De Heer is ons huis/Zijn grootheid torent uit</t>
  </si>
  <si>
    <t>Heilig bent U, God/Zing voor zijn naam</t>
  </si>
  <si>
    <t>Ik heb U nodig/Heer, ik kom en beken</t>
  </si>
  <si>
    <t>Zegekroon/U zult altijd voor ons strijden</t>
  </si>
  <si>
    <t>Uw vrede vult dit huis</t>
  </si>
  <si>
    <t>De wind steekt op/Als de hemel openbreekt</t>
  </si>
  <si>
    <t>Familie/Hoe mooi en hoe heerlijk</t>
  </si>
  <si>
    <t>Zing een nieuw lied(PvN)/Zing, zing, zing een nieuw lied voor de Heer</t>
  </si>
  <si>
    <t>Bouw uw koninkrijk/Kom, vestig uw gezag</t>
  </si>
  <si>
    <t>Ik zal er zijn/Hoe wonderlijk mooi is uw eeuwige naam</t>
  </si>
  <si>
    <t>Eén doel/Wij zijn gekomen voor een ontmoeting met U</t>
  </si>
  <si>
    <t>Overwinnaar/Ik wil zingen voor de Here</t>
  </si>
  <si>
    <t>De enige die redt/Uit liefde gaf God zijn eigen Zoon</t>
  </si>
  <si>
    <t>Ik verlang naar Jezus</t>
  </si>
  <si>
    <t>Bij het kruis/Er is een plek waar liefde heerst</t>
  </si>
  <si>
    <t>Wij, de verlosten van de Heer</t>
  </si>
  <si>
    <t>Ik geef U alle eer/U bent de Koning op de troon</t>
  </si>
  <si>
    <t>Hoe lang, o Heer?</t>
  </si>
  <si>
    <t>Zoals je bent/Kom hier met je tranen</t>
  </si>
  <si>
    <t>Verwachten/Ik zie uit naar de Heer</t>
  </si>
  <si>
    <t>Jezus redt/Hoor de hartslag van de hemel</t>
  </si>
  <si>
    <t>Geloofd zij de Heer/Ik heb U lief, Heer, mijn sterkte</t>
  </si>
  <si>
    <t>Wij houden ons niet langer stil/Jezus, U bent hier bij ons</t>
  </si>
  <si>
    <t>Laat alles in dit huis/Wij zijn gekomen om U te aanbidden, Jezus</t>
  </si>
  <si>
    <t>Fundament/Ik bouw op Jezus, anders niet (Myrin)</t>
  </si>
  <si>
    <t>Met hart en handen/Schepper God, U die alles adem geeft</t>
  </si>
  <si>
    <t>Man van smarten, Lam van God</t>
  </si>
  <si>
    <t>Wees welkom, Geest van God</t>
  </si>
  <si>
    <t>Lopen op het water/U leert me lopen op het water</t>
  </si>
  <si>
    <t>God is mijn Herder, die mij weidt</t>
  </si>
  <si>
    <t>Almachtige/U bent de koning, U draagt de kroon</t>
  </si>
  <si>
    <t>Eeuwig Halleluja/Als ik voor uw troon verschijn</t>
  </si>
  <si>
    <t>Een fonkelnieuw begin/Er breekt een lang beloofde toekomst aan</t>
  </si>
  <si>
    <t>No longer slaves/You unravel me with a melody</t>
  </si>
  <si>
    <t>Amen(Opw.)/Ik geloof in de Zoon</t>
  </si>
  <si>
    <t>De Leeuw en het Lam/De wereld zal het zien</t>
  </si>
  <si>
    <t>Breng ons samen/U roept ons samen als kerk van de Heer</t>
  </si>
  <si>
    <t>Houd vol/Wij zijn het volk van God</t>
  </si>
  <si>
    <t>In eeuwigheid/De middag kleurde zwart</t>
  </si>
  <si>
    <t>Koning met eer gekroond/Glorie aan de hoogste Heer</t>
  </si>
  <si>
    <t>Het leven in mij/Mijn hart gelooft, mijn mond belijdt</t>
  </si>
  <si>
    <t>Hier is mijn hart, Heer</t>
  </si>
  <si>
    <t>Vol ontzag/Ontzagwekkend is uw heiligheid</t>
  </si>
  <si>
    <t>Good good father/I've heard a thousand stories</t>
  </si>
  <si>
    <t>Maak ons hart onrustig, God</t>
  </si>
  <si>
    <t>Soeverein/Er ligt hoop in onze tranen</t>
  </si>
  <si>
    <t>God van licht/In mijn twijfels, mijn verdriet</t>
  </si>
  <si>
    <t>Ik leef in U/In de holte van uw hand</t>
  </si>
  <si>
    <t>Dit is Jezus/Vanaf het begin was het Woord bij God</t>
  </si>
  <si>
    <t>Smaak van redding/Onze God roept ons aan tafel</t>
  </si>
  <si>
    <t>Witter dan sneeuw (Psalm 51)/Was mij witter dan sneeuw</t>
  </si>
  <si>
    <t>What a beautiful name/You were the Word at the beginning</t>
  </si>
  <si>
    <t>Uw liefde wint elke strijd/Heer, U leidt mij door uw hand</t>
  </si>
  <si>
    <t>Glorieus/De hemel verhaalt van zijn majesteit</t>
  </si>
  <si>
    <t>Vul dit huis met Uw glorie</t>
  </si>
  <si>
    <t>Hoogste God/Kom kijken wat de Heer gaat doen</t>
  </si>
  <si>
    <t>Wij hebben U lief/Heer Jezus, hier zijn wij</t>
  </si>
  <si>
    <t>Op die dag/Eenmaal maakt U alles weer nieuw, Jezus</t>
  </si>
  <si>
    <t>Niemand anders/Wie deed de eerste zon opgaan</t>
  </si>
  <si>
    <t>Feest van genade/Alzo lief had God de wereld (Opw)</t>
  </si>
  <si>
    <t>U verdient de eer/Kom en zing een vreugdelied</t>
  </si>
  <si>
    <t>Mijn anker/Hoe diep de zee ook is</t>
  </si>
  <si>
    <t>Hij laat ons niet vallen/Op God is onze hoop</t>
  </si>
  <si>
    <t>Morgen dans je weer/Prijs Hem, in je dag vol zorgen</t>
  </si>
  <si>
    <t>Reckless Love/Before I spoke a word</t>
  </si>
  <si>
    <t>De Heer is mijn Bevrijder/God keek genadig naar mij om</t>
  </si>
  <si>
    <t>Zie onze God/Wie omvat de zeeën met zijn hand</t>
  </si>
  <si>
    <t>Waardig is uw naam/Lam van God, U die alle zonden</t>
  </si>
  <si>
    <t>Wij zoeken U/O Heer, verlos ons van het kwaad</t>
  </si>
  <si>
    <t>Vragen/Hoe we ook zwerven, zoekend en vragend</t>
  </si>
  <si>
    <t>Hemelhoog/U gaat uw eigen wegen</t>
  </si>
  <si>
    <t>Jezus Overwinnaar/Waar U verschijnt, wordt alles nieuw</t>
  </si>
  <si>
    <t>Kom, verras ons/U ontmoet ons, soms zo onverwachts</t>
  </si>
  <si>
    <t>Door Gebed/Door gebed wordt duisternis verlicht</t>
  </si>
  <si>
    <t>Blijf voor Hem zingen/Zing voor Hem, hemellichten</t>
  </si>
  <si>
    <t>Door en door goed/Geen pen kan ooit beschrijven</t>
  </si>
  <si>
    <t>Toon ons uw glorie/U roept ons, wij komen</t>
  </si>
  <si>
    <t>Proef en zie/Ik zoek de Heer</t>
  </si>
  <si>
    <t>Aanbid Hem/Hij die was voor licht werd verspreid</t>
  </si>
  <si>
    <t>Heer, ik wacht op U/Vanuit de diepte roep ik U</t>
  </si>
  <si>
    <t>U mijn Heer/In U is alles vervuld</t>
  </si>
  <si>
    <t>Moedig kom ik voor uw troon/Waar engelen vol eerbied staan</t>
  </si>
  <si>
    <t>Vaste hoop/Diep was de kloof die mij van U scheidde</t>
  </si>
  <si>
    <t>Zegen/De God van Abraham, Isaak en Jakob</t>
  </si>
  <si>
    <t>De zegen/De Heer zegent en beschermt jou</t>
  </si>
  <si>
    <t>Abba/U bent een Vader die zingt en juicht over ons</t>
  </si>
  <si>
    <t>Onze schuilplaats is God/Er is hoop die groter dan de dood is</t>
  </si>
  <si>
    <t>Alzo lief/Kom als je moe bent</t>
  </si>
  <si>
    <t>Goedheid van God/Ik hou van U. Uw genade blijft me dragen</t>
  </si>
  <si>
    <t>Het komt door ZIJN naam/Ons getuigenis is rijk</t>
  </si>
  <si>
    <t>Prijs de Koning/Heer, wij dwaalden in het donker</t>
  </si>
  <si>
    <t>Zie het Lam van God</t>
  </si>
  <si>
    <t>Zing zijn lied opnieuw/Zijn genade een wonder, zijn glorie zo groot</t>
  </si>
  <si>
    <t>In de stilte/Hier in de stilte zoek ik U</t>
  </si>
  <si>
    <t>U geeft rust/De aarde kent uw grote kracht</t>
  </si>
  <si>
    <t>Het bloed van Jezus spreekt voor mij</t>
  </si>
  <si>
    <t>Hoop in leven en in dood/Wie troost in leven en in dood</t>
  </si>
  <si>
    <t>De strijd behoort U toe / Als ik alleen maar strijd zie</t>
  </si>
  <si>
    <t>Een nieuwe naam / Verloren en beschaamd</t>
  </si>
  <si>
    <t>Toon mij uw glorie / Hier ben ik, hier bij U</t>
  </si>
  <si>
    <t>Uw grote trouw / U bent waar wij zijn</t>
  </si>
  <si>
    <t>Vrijheid / Stap uit de schaduw</t>
  </si>
  <si>
    <t>Verhoog zijn naam / Alles wat leeft, bestaat door Hem</t>
  </si>
  <si>
    <t>Alle glorie / Er is maar een god die zijn troon verliet</t>
  </si>
  <si>
    <t>Hier zijn / Alles kan wachten, Heer</t>
  </si>
  <si>
    <t>Egypte / Dit blijft ons bij</t>
  </si>
  <si>
    <t>De naam van Jezus / In geloof spreek ik de naam van Jezus</t>
  </si>
  <si>
    <t>Hoop en redding / Hoor ons bidden, hoogste Koning</t>
  </si>
  <si>
    <t>Huis van gebed / Maak dit huis tot een huis van gebed</t>
  </si>
  <si>
    <t>Diep geraakt / Wij zien grote daden van Jezus</t>
  </si>
  <si>
    <t>Heer, U riep ons uit de duisternis / Laat de volken zingen</t>
  </si>
  <si>
    <t>Liefde daalde neer / Wonderlijke kracht</t>
  </si>
  <si>
    <t>Wie anders laat zelfs stenen zingen / Duizend halleluja's</t>
  </si>
  <si>
    <t>God van Abraham /Uw trouw</t>
  </si>
  <si>
    <t>Heer, ik liep vast / Dank U Jezus voor uw kostbaar bloed</t>
  </si>
  <si>
    <t>Duizend generaties knielen in aanbidding / Voor altijd heilig</t>
  </si>
  <si>
    <t>Ik roep tot U, de God van Jakob /U bent dezelfde</t>
  </si>
  <si>
    <t>Adonai, Elohim, de Ik Ben, U bent hier/ Voor eeuwig Jahweh</t>
  </si>
  <si>
    <t>U verwelkomt ons / Hart vol lof</t>
  </si>
  <si>
    <t>Heer, ik roep vanuit het dal</t>
  </si>
  <si>
    <t>Kom en aanbid onze Heer / Machtige daden</t>
  </si>
  <si>
    <t>Ik wil U kennen, persoonlijk kennen / Kennen</t>
  </si>
  <si>
    <t>Het leven kan soms kwetsbaar en onzeker zijn / Wij zien Jezus</t>
  </si>
  <si>
    <t>Oneindige goedheid, trouw zonder grenzen / Allesomvattend</t>
  </si>
  <si>
    <t>Let everything that has breath / Praise</t>
  </si>
  <si>
    <t>Muren van zonde en schuld hielden ons vast / Dit is onze God</t>
  </si>
  <si>
    <t>Eén naam verdient onze aanbidding / Kijk naar het Lam</t>
  </si>
  <si>
    <t>Zie het Lam, zie de wonden in zijn hand / Hij leeft(, Hij leeft)</t>
  </si>
  <si>
    <t>Het licht breekt door, de dag ontwaakt / Dagelijks gebed</t>
  </si>
  <si>
    <t>Hier zijn wij, hier bent U / Wij aanbidden U, Jezus</t>
  </si>
  <si>
    <t>Of ik wonden moet verzorgen / Zend mij</t>
  </si>
  <si>
    <t>Here is where I lay it down / Make room</t>
  </si>
  <si>
    <t>Wat ik zo nodig heb / Huis van vrede</t>
  </si>
  <si>
    <t>Gezegend is wie bij Hem schuilt / Prijs God</t>
  </si>
  <si>
    <t>Wij zullen niet bang zijn / God is voor ons</t>
  </si>
  <si>
    <t>Wij kijken reikhalzend uit naar de wolken /Reikhalzend</t>
  </si>
  <si>
    <t>Zie, op het kruis van Golgotha / Wat Hij deed</t>
  </si>
  <si>
    <t>Breek de hemelen open</t>
  </si>
  <si>
    <t>U gaf mij deel aan uw verbond / Alleen door Jezus</t>
  </si>
  <si>
    <t>I've got joy in the morning /Joy</t>
  </si>
  <si>
    <t>Sinds het begin, Heer /Ik geloof( Gayle)</t>
  </si>
  <si>
    <t>Ik zie een troon staan in de hemel / Leeuw van Juda</t>
  </si>
  <si>
    <t>Ik ben een instrument voor uw aanbidding / Wie is er waardig</t>
  </si>
  <si>
    <t>De vreugde van mijn hart / Heilig heilig heilig</t>
  </si>
  <si>
    <t>Voor mijn adem, God /Blijf</t>
  </si>
  <si>
    <t>Niet langer ik, maar Christus leeft in mij / Ja, opnieuw</t>
  </si>
  <si>
    <t>Wij willen een kerk zijn die levend is / Vurig verlangen</t>
  </si>
  <si>
    <t>De Heere zegent jou / Halleluja amen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</si>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</sst>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yy"/>
    <numFmt numFmtId="165" formatCode="yyyy\-mm\-dd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quotePrefix="1" applyFont="1"/>
    <xf numFmtId="0" fontId="2" fillId="0" borderId="0" xfId="0" applyFont="1" applyAlignment="1">
      <alignment textRotation="180"/>
    </xf>
    <xf numFmtId="165" fontId="2" fillId="0" borderId="0" xfId="0" applyNumberFormat="1" applyFont="1" applyAlignment="1">
      <alignment textRotation="180"/>
    </xf>
  </cellXfs>
  <cellStyles count="1">
    <cellStyle name="Normal" xfId="0" builtinId="0"/>
  </cellStyles>
  <dxfs count="1">
    <dxf>
      <font>
        <color theme="9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val>
            <c:numRef>
              <c:f>'2022 - Top-lijstjes'!$A$1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E324-C54A-8395-451C46F0B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6453713"/>
        <c:axId val="1310830377"/>
      </c:barChart>
      <c:catAx>
        <c:axId val="1556453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NL"/>
          </a:p>
        </c:txPr>
        <c:crossAx val="1310830377"/>
        <c:crosses val="autoZero"/>
        <c:auto val="1"/>
        <c:lblAlgn val="ctr"/>
        <c:lblOffset val="100"/>
        <c:noMultiLvlLbl val="1"/>
      </c:catAx>
      <c:valAx>
        <c:axId val="1310830377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55645371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N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2</xdr:row>
      <xdr:rowOff>66675</xdr:rowOff>
    </xdr:from>
    <xdr:ext cx="5715000" cy="3533775"/>
    <xdr:graphicFrame macro="">
      <xdr:nvGraphicFramePr>
        <xdr:cNvPr id="2" name="Chart 1" title="Diagram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A45" workbookViewId="0"/>
  </sheetViews>
  <sheetFormatPr baseColWidth="10" defaultColWidth="12.6640625" defaultRowHeight="15.75" customHeight="1" x14ac:dyDescent="0.15"/>
  <cols>
    <col min="2" max="2" width="68.1640625" customWidth="1"/>
  </cols>
  <sheetData>
    <row r="1" spans="1:26" ht="15.75" customHeight="1" x14ac:dyDescent="0.15">
      <c r="A1" s="2" t="s">
        <v>1</v>
      </c>
      <c r="B1" s="1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3">
        <v>45837</v>
      </c>
      <c r="B2" s="4" t="s">
        <v>3</v>
      </c>
    </row>
    <row r="3" spans="1:26" ht="15.75" customHeight="1" x14ac:dyDescent="0.15">
      <c r="A3" s="3">
        <v>45837</v>
      </c>
      <c r="B3" s="4" t="s">
        <v>4</v>
      </c>
    </row>
    <row r="4" spans="1:26" ht="15.75" customHeight="1" x14ac:dyDescent="0.15">
      <c r="A4" s="3">
        <v>45837</v>
      </c>
      <c r="B4" s="4" t="s">
        <v>5</v>
      </c>
    </row>
    <row r="5" spans="1:26" ht="15.75" customHeight="1" x14ac:dyDescent="0.15">
      <c r="A5" s="3">
        <v>45837</v>
      </c>
      <c r="B5" s="4" t="s">
        <v>6</v>
      </c>
    </row>
    <row r="6" spans="1:26" ht="15.75" customHeight="1" x14ac:dyDescent="0.15">
      <c r="A6" s="3">
        <v>45837</v>
      </c>
      <c r="B6" s="4" t="s">
        <v>7</v>
      </c>
    </row>
    <row r="7" spans="1:26" ht="15.75" customHeight="1" x14ac:dyDescent="0.15">
      <c r="A7" s="3">
        <v>45837</v>
      </c>
      <c r="B7" s="4" t="s">
        <v>8</v>
      </c>
    </row>
    <row r="8" spans="1:26" ht="15.75" customHeight="1" x14ac:dyDescent="0.15">
      <c r="A8" s="3">
        <v>45837</v>
      </c>
      <c r="B8" s="4" t="s">
        <v>9</v>
      </c>
    </row>
    <row r="9" spans="1:26" ht="15.75" customHeight="1" x14ac:dyDescent="0.15">
      <c r="A9" s="3">
        <v>45823</v>
      </c>
      <c r="B9" s="4" t="s">
        <v>10</v>
      </c>
    </row>
    <row r="10" spans="1:26" ht="15.75" customHeight="1" x14ac:dyDescent="0.15">
      <c r="A10" s="3">
        <v>45823</v>
      </c>
      <c r="B10" s="4" t="s">
        <v>11</v>
      </c>
    </row>
    <row r="11" spans="1:26" ht="15.75" customHeight="1" x14ac:dyDescent="0.15">
      <c r="A11" s="3">
        <v>45823</v>
      </c>
      <c r="B11" s="4" t="s">
        <v>12</v>
      </c>
    </row>
    <row r="12" spans="1:26" ht="15.75" customHeight="1" x14ac:dyDescent="0.15">
      <c r="A12" s="3">
        <v>45823</v>
      </c>
      <c r="B12" s="4" t="s">
        <v>13</v>
      </c>
    </row>
    <row r="13" spans="1:26" ht="15.75" customHeight="1" x14ac:dyDescent="0.15">
      <c r="A13" s="3">
        <v>45823</v>
      </c>
      <c r="B13" s="4" t="s">
        <v>14</v>
      </c>
    </row>
    <row r="14" spans="1:26" ht="15.75" customHeight="1" x14ac:dyDescent="0.15">
      <c r="A14" s="3">
        <v>45823</v>
      </c>
      <c r="B14" s="4" t="s">
        <v>16</v>
      </c>
    </row>
    <row r="15" spans="1:26" ht="15.75" customHeight="1" x14ac:dyDescent="0.15">
      <c r="A15" s="3">
        <v>45823</v>
      </c>
      <c r="B15" s="4" t="s">
        <v>17</v>
      </c>
    </row>
    <row r="16" spans="1:26" ht="15.75" customHeight="1" x14ac:dyDescent="0.15">
      <c r="A16" s="3">
        <v>45830</v>
      </c>
      <c r="B16" s="4" t="s">
        <v>18</v>
      </c>
    </row>
    <row r="17" spans="1:2" ht="15.75" customHeight="1" x14ac:dyDescent="0.15">
      <c r="A17" s="3">
        <v>45830</v>
      </c>
      <c r="B17" s="4" t="s">
        <v>19</v>
      </c>
    </row>
    <row r="18" spans="1:2" ht="15.75" customHeight="1" x14ac:dyDescent="0.15">
      <c r="A18" s="3">
        <v>45830</v>
      </c>
      <c r="B18" s="4" t="s">
        <v>20</v>
      </c>
    </row>
    <row r="19" spans="1:2" ht="15.75" customHeight="1" x14ac:dyDescent="0.15">
      <c r="A19" s="3">
        <v>45830</v>
      </c>
      <c r="B19" s="4" t="s">
        <v>21</v>
      </c>
    </row>
    <row r="20" spans="1:2" ht="15.75" customHeight="1" x14ac:dyDescent="0.15">
      <c r="A20" s="3">
        <v>45830</v>
      </c>
      <c r="B20" s="4" t="s">
        <v>22</v>
      </c>
    </row>
    <row r="21" spans="1:2" ht="15.75" customHeight="1" x14ac:dyDescent="0.15">
      <c r="A21" s="3">
        <v>45830</v>
      </c>
      <c r="B21" s="4" t="s">
        <v>23</v>
      </c>
    </row>
    <row r="22" spans="1:2" ht="15.75" customHeight="1" x14ac:dyDescent="0.15">
      <c r="A22" s="3">
        <v>45830</v>
      </c>
      <c r="B22" s="4" t="s">
        <v>25</v>
      </c>
    </row>
    <row r="23" spans="1:2" ht="15.75" customHeight="1" x14ac:dyDescent="0.15">
      <c r="A23" s="3">
        <v>45830</v>
      </c>
      <c r="B23" s="4" t="s">
        <v>26</v>
      </c>
    </row>
    <row r="24" spans="1:2" ht="15.75" customHeight="1" x14ac:dyDescent="0.15">
      <c r="A24" s="3">
        <v>45830</v>
      </c>
      <c r="B24" s="4" t="s">
        <v>28</v>
      </c>
    </row>
    <row r="25" spans="1:2" ht="15.75" customHeight="1" x14ac:dyDescent="0.15">
      <c r="A25" s="3">
        <v>45816</v>
      </c>
      <c r="B25" s="4" t="s">
        <v>30</v>
      </c>
    </row>
    <row r="26" spans="1:2" ht="15.75" customHeight="1" x14ac:dyDescent="0.15">
      <c r="A26" s="3">
        <v>45816</v>
      </c>
      <c r="B26" s="4" t="s">
        <v>32</v>
      </c>
    </row>
    <row r="27" spans="1:2" ht="15.75" customHeight="1" x14ac:dyDescent="0.15">
      <c r="A27" s="3">
        <v>45816</v>
      </c>
      <c r="B27" s="4" t="s">
        <v>35</v>
      </c>
    </row>
    <row r="28" spans="1:2" ht="15.75" customHeight="1" x14ac:dyDescent="0.15">
      <c r="A28" s="3">
        <v>45816</v>
      </c>
      <c r="B28" s="4" t="s">
        <v>36</v>
      </c>
    </row>
    <row r="29" spans="1:2" ht="15.75" customHeight="1" x14ac:dyDescent="0.15">
      <c r="A29" s="3">
        <v>45816</v>
      </c>
      <c r="B29" s="4" t="s">
        <v>38</v>
      </c>
    </row>
    <row r="30" spans="1:2" ht="15.75" customHeight="1" x14ac:dyDescent="0.15">
      <c r="A30" s="3">
        <v>45816</v>
      </c>
      <c r="B30" s="4" t="s">
        <v>40</v>
      </c>
    </row>
    <row r="31" spans="1:2" ht="15.75" customHeight="1" x14ac:dyDescent="0.15">
      <c r="A31" s="3">
        <v>45816</v>
      </c>
      <c r="B31" s="4" t="s">
        <v>42</v>
      </c>
    </row>
    <row r="32" spans="1:2" ht="15.75" customHeight="1" x14ac:dyDescent="0.15">
      <c r="A32" s="3">
        <v>45816</v>
      </c>
      <c r="B32" s="4" t="s">
        <v>44</v>
      </c>
    </row>
    <row r="33" spans="1:2" ht="15.75" customHeight="1" x14ac:dyDescent="0.15">
      <c r="A33" s="3">
        <v>45816</v>
      </c>
      <c r="B33" s="4" t="s">
        <v>45</v>
      </c>
    </row>
    <row r="34" spans="1:2" ht="15.75" customHeight="1" x14ac:dyDescent="0.15">
      <c r="A34" s="3">
        <v>45809</v>
      </c>
      <c r="B34" s="4" t="s">
        <v>46</v>
      </c>
    </row>
    <row r="35" spans="1:2" ht="15.75" customHeight="1" x14ac:dyDescent="0.15">
      <c r="A35" s="3">
        <v>45809</v>
      </c>
      <c r="B35" s="4" t="s">
        <v>13</v>
      </c>
    </row>
    <row r="36" spans="1:2" ht="15.75" customHeight="1" x14ac:dyDescent="0.15">
      <c r="A36" s="3">
        <v>45809</v>
      </c>
      <c r="B36" s="4" t="s">
        <v>48</v>
      </c>
    </row>
    <row r="37" spans="1:2" ht="15.75" customHeight="1" x14ac:dyDescent="0.15">
      <c r="A37" s="3">
        <v>45809</v>
      </c>
      <c r="B37" s="4" t="s">
        <v>50</v>
      </c>
    </row>
    <row r="38" spans="1:2" ht="15.75" customHeight="1" x14ac:dyDescent="0.15">
      <c r="A38" s="3">
        <v>45802</v>
      </c>
      <c r="B38" s="4" t="s">
        <v>51</v>
      </c>
    </row>
    <row r="39" spans="1:2" ht="15.75" customHeight="1" x14ac:dyDescent="0.15">
      <c r="A39" s="3">
        <v>45802</v>
      </c>
      <c r="B39" s="4" t="s">
        <v>53</v>
      </c>
    </row>
    <row r="40" spans="1:2" ht="15.75" customHeight="1" x14ac:dyDescent="0.15">
      <c r="A40" s="3">
        <v>45802</v>
      </c>
      <c r="B40" s="4" t="s">
        <v>56</v>
      </c>
    </row>
    <row r="41" spans="1:2" ht="15.75" customHeight="1" x14ac:dyDescent="0.15">
      <c r="A41" s="3">
        <v>45802</v>
      </c>
      <c r="B41" s="4" t="s">
        <v>58</v>
      </c>
    </row>
    <row r="42" spans="1:2" ht="15.75" customHeight="1" x14ac:dyDescent="0.15">
      <c r="A42" s="3">
        <v>45802</v>
      </c>
      <c r="B42" s="4" t="s">
        <v>61</v>
      </c>
    </row>
    <row r="43" spans="1:2" ht="15.75" customHeight="1" x14ac:dyDescent="0.15">
      <c r="A43" s="3">
        <v>45802</v>
      </c>
      <c r="B43" s="4" t="s">
        <v>63</v>
      </c>
    </row>
    <row r="44" spans="1:2" ht="15.75" customHeight="1" x14ac:dyDescent="0.15">
      <c r="A44" s="3">
        <v>45802</v>
      </c>
      <c r="B44" s="4" t="s">
        <v>66</v>
      </c>
    </row>
    <row r="45" spans="1:2" ht="15.75" customHeight="1" x14ac:dyDescent="0.15">
      <c r="A45" s="3">
        <v>45802</v>
      </c>
      <c r="B45" s="4" t="s">
        <v>68</v>
      </c>
    </row>
    <row r="46" spans="1:2" ht="15.75" customHeight="1" x14ac:dyDescent="0.15">
      <c r="A46" s="3">
        <v>45802</v>
      </c>
      <c r="B46" s="4" t="s">
        <v>70</v>
      </c>
    </row>
    <row r="47" spans="1:2" ht="15.75" customHeight="1" x14ac:dyDescent="0.15">
      <c r="A47" s="3">
        <v>45795</v>
      </c>
      <c r="B47" s="4" t="s">
        <v>73</v>
      </c>
    </row>
    <row r="48" spans="1:2" ht="15.75" customHeight="1" x14ac:dyDescent="0.15">
      <c r="A48" s="3">
        <v>45795</v>
      </c>
      <c r="B48" s="4" t="s">
        <v>51</v>
      </c>
    </row>
    <row r="49" spans="1:2" ht="15.75" customHeight="1" x14ac:dyDescent="0.15">
      <c r="A49" s="3">
        <v>45795</v>
      </c>
      <c r="B49" s="4" t="s">
        <v>76</v>
      </c>
    </row>
    <row r="50" spans="1:2" ht="15.75" customHeight="1" x14ac:dyDescent="0.15">
      <c r="A50" s="3">
        <v>45795</v>
      </c>
      <c r="B50" s="4" t="s">
        <v>13</v>
      </c>
    </row>
    <row r="51" spans="1:2" ht="15.75" customHeight="1" x14ac:dyDescent="0.15">
      <c r="A51" s="3">
        <v>45795</v>
      </c>
      <c r="B51" s="4" t="s">
        <v>79</v>
      </c>
    </row>
    <row r="52" spans="1:2" ht="15.75" customHeight="1" x14ac:dyDescent="0.15">
      <c r="A52" s="3">
        <v>45795</v>
      </c>
      <c r="B52" s="4" t="s">
        <v>82</v>
      </c>
    </row>
    <row r="53" spans="1:2" ht="15.75" customHeight="1" x14ac:dyDescent="0.15">
      <c r="A53" s="3">
        <v>45788</v>
      </c>
      <c r="B53" s="4" t="s">
        <v>84</v>
      </c>
    </row>
    <row r="54" spans="1:2" ht="15.75" customHeight="1" x14ac:dyDescent="0.15">
      <c r="A54" s="3">
        <v>45788</v>
      </c>
      <c r="B54" s="4" t="s">
        <v>86</v>
      </c>
    </row>
    <row r="55" spans="1:2" ht="13" x14ac:dyDescent="0.15">
      <c r="A55" s="3">
        <v>45788</v>
      </c>
      <c r="B55" s="4" t="s">
        <v>88</v>
      </c>
    </row>
    <row r="56" spans="1:2" ht="13" x14ac:dyDescent="0.15">
      <c r="A56" s="3">
        <v>45788</v>
      </c>
      <c r="B56" s="4" t="s">
        <v>17</v>
      </c>
    </row>
    <row r="57" spans="1:2" ht="13" x14ac:dyDescent="0.15">
      <c r="A57" s="3">
        <v>45788</v>
      </c>
      <c r="B57" s="4" t="s">
        <v>92</v>
      </c>
    </row>
    <row r="58" spans="1:2" ht="13" x14ac:dyDescent="0.15">
      <c r="A58" s="3">
        <v>45788</v>
      </c>
      <c r="B58" s="4" t="s">
        <v>14</v>
      </c>
    </row>
    <row r="59" spans="1:2" ht="13" x14ac:dyDescent="0.15">
      <c r="A59" s="3">
        <v>45788</v>
      </c>
      <c r="B59" s="4" t="s">
        <v>99</v>
      </c>
    </row>
    <row r="60" spans="1:2" ht="13" x14ac:dyDescent="0.15">
      <c r="A60" s="3">
        <v>45781</v>
      </c>
      <c r="B60" s="4" t="s">
        <v>101</v>
      </c>
    </row>
    <row r="61" spans="1:2" ht="13" x14ac:dyDescent="0.15">
      <c r="A61" s="3">
        <v>45781</v>
      </c>
      <c r="B61" s="4" t="s">
        <v>103</v>
      </c>
    </row>
    <row r="62" spans="1:2" ht="13" x14ac:dyDescent="0.15">
      <c r="A62" s="3">
        <v>45781</v>
      </c>
      <c r="B62" s="4" t="s">
        <v>105</v>
      </c>
    </row>
    <row r="63" spans="1:2" ht="13" x14ac:dyDescent="0.15">
      <c r="A63" s="3">
        <v>45781</v>
      </c>
      <c r="B63" s="4" t="s">
        <v>108</v>
      </c>
    </row>
    <row r="64" spans="1:2" ht="13" x14ac:dyDescent="0.15">
      <c r="A64" s="3">
        <v>45781</v>
      </c>
      <c r="B64" s="4" t="s">
        <v>109</v>
      </c>
    </row>
    <row r="65" spans="1:2" ht="13" x14ac:dyDescent="0.15">
      <c r="A65" s="3">
        <v>45781</v>
      </c>
      <c r="B65" s="4" t="s">
        <v>111</v>
      </c>
    </row>
    <row r="66" spans="1:2" ht="13" x14ac:dyDescent="0.15">
      <c r="A66" s="3">
        <v>45781</v>
      </c>
      <c r="B66" s="4" t="s">
        <v>113</v>
      </c>
    </row>
    <row r="67" spans="1:2" ht="13" x14ac:dyDescent="0.15">
      <c r="A67" s="3">
        <v>45774</v>
      </c>
      <c r="B67" s="4" t="s">
        <v>116</v>
      </c>
    </row>
    <row r="68" spans="1:2" ht="13" x14ac:dyDescent="0.15">
      <c r="A68" s="3">
        <v>45774</v>
      </c>
      <c r="B68" s="4" t="s">
        <v>92</v>
      </c>
    </row>
    <row r="69" spans="1:2" ht="13" x14ac:dyDescent="0.15">
      <c r="A69" s="3">
        <v>45774</v>
      </c>
      <c r="B69" s="4" t="s">
        <v>58</v>
      </c>
    </row>
    <row r="70" spans="1:2" ht="13" x14ac:dyDescent="0.15">
      <c r="A70" s="3">
        <v>45774</v>
      </c>
      <c r="B70" s="4" t="s">
        <v>121</v>
      </c>
    </row>
    <row r="71" spans="1:2" ht="13" x14ac:dyDescent="0.15">
      <c r="A71" s="3">
        <v>45774</v>
      </c>
      <c r="B71" s="4" t="s">
        <v>123</v>
      </c>
    </row>
    <row r="72" spans="1:2" ht="13" x14ac:dyDescent="0.15">
      <c r="A72" s="3">
        <v>45774</v>
      </c>
      <c r="B72" s="4" t="s">
        <v>126</v>
      </c>
    </row>
    <row r="73" spans="1:2" ht="13" x14ac:dyDescent="0.15">
      <c r="A73" s="3">
        <v>45774</v>
      </c>
      <c r="B73" s="4" t="s">
        <v>128</v>
      </c>
    </row>
    <row r="74" spans="1:2" ht="13" x14ac:dyDescent="0.15">
      <c r="A74" s="3">
        <v>45767</v>
      </c>
      <c r="B74" s="4" t="s">
        <v>131</v>
      </c>
    </row>
    <row r="75" spans="1:2" ht="13" x14ac:dyDescent="0.15">
      <c r="A75" s="3">
        <v>45767</v>
      </c>
      <c r="B75" s="4" t="s">
        <v>133</v>
      </c>
    </row>
    <row r="76" spans="1:2" ht="13" x14ac:dyDescent="0.15">
      <c r="A76" s="3">
        <v>45767</v>
      </c>
      <c r="B76" s="4" t="s">
        <v>136</v>
      </c>
    </row>
    <row r="77" spans="1:2" ht="13" x14ac:dyDescent="0.15">
      <c r="A77" s="3">
        <v>45767</v>
      </c>
      <c r="B77" s="4" t="s">
        <v>138</v>
      </c>
    </row>
    <row r="78" spans="1:2" ht="13" x14ac:dyDescent="0.15">
      <c r="A78" s="3">
        <v>45767</v>
      </c>
      <c r="B78" s="4" t="s">
        <v>140</v>
      </c>
    </row>
    <row r="79" spans="1:2" ht="13" x14ac:dyDescent="0.15">
      <c r="A79" s="3">
        <v>45767</v>
      </c>
      <c r="B79" s="4" t="s">
        <v>142</v>
      </c>
    </row>
    <row r="80" spans="1:2" ht="13" x14ac:dyDescent="0.15">
      <c r="A80" s="3">
        <v>45767</v>
      </c>
      <c r="B80" s="4" t="s">
        <v>145</v>
      </c>
    </row>
    <row r="81" spans="1:2" ht="13" x14ac:dyDescent="0.15">
      <c r="A81" s="3">
        <v>45760</v>
      </c>
      <c r="B81" s="4" t="s">
        <v>147</v>
      </c>
    </row>
    <row r="82" spans="1:2" ht="13" x14ac:dyDescent="0.15">
      <c r="A82" s="3">
        <v>45760</v>
      </c>
      <c r="B82" s="4" t="s">
        <v>150</v>
      </c>
    </row>
    <row r="83" spans="1:2" ht="13" x14ac:dyDescent="0.15">
      <c r="A83" s="3">
        <v>45760</v>
      </c>
      <c r="B83" s="4" t="s">
        <v>152</v>
      </c>
    </row>
    <row r="84" spans="1:2" ht="13" x14ac:dyDescent="0.15">
      <c r="A84" s="3">
        <v>45760</v>
      </c>
      <c r="B84" s="4" t="s">
        <v>155</v>
      </c>
    </row>
    <row r="85" spans="1:2" ht="13" x14ac:dyDescent="0.15">
      <c r="A85" s="3">
        <v>45760</v>
      </c>
      <c r="B85" s="4" t="s">
        <v>157</v>
      </c>
    </row>
    <row r="86" spans="1:2" ht="13" x14ac:dyDescent="0.15">
      <c r="A86" s="3">
        <v>45753</v>
      </c>
      <c r="B86" s="4" t="s">
        <v>159</v>
      </c>
    </row>
    <row r="87" spans="1:2" ht="13" x14ac:dyDescent="0.15">
      <c r="A87" s="3">
        <v>45753</v>
      </c>
      <c r="B87" s="4" t="s">
        <v>61</v>
      </c>
    </row>
    <row r="88" spans="1:2" ht="13" x14ac:dyDescent="0.15">
      <c r="A88" s="3">
        <v>45753</v>
      </c>
      <c r="B88" s="4" t="s">
        <v>163</v>
      </c>
    </row>
    <row r="89" spans="1:2" ht="13" x14ac:dyDescent="0.15">
      <c r="A89" s="3">
        <v>45753</v>
      </c>
      <c r="B89" s="4" t="s">
        <v>165</v>
      </c>
    </row>
    <row r="90" spans="1:2" ht="13" x14ac:dyDescent="0.15">
      <c r="A90" s="3">
        <v>45753</v>
      </c>
      <c r="B90" s="4" t="s">
        <v>169</v>
      </c>
    </row>
    <row r="91" spans="1:2" ht="13" x14ac:dyDescent="0.15">
      <c r="A91" s="3">
        <v>45753</v>
      </c>
      <c r="B91" s="4" t="s">
        <v>171</v>
      </c>
    </row>
    <row r="92" spans="1:2" ht="13" x14ac:dyDescent="0.15">
      <c r="A92" s="3">
        <v>45753</v>
      </c>
      <c r="B92" s="4" t="s">
        <v>174</v>
      </c>
    </row>
    <row r="93" spans="1:2" ht="13" x14ac:dyDescent="0.15">
      <c r="A93" s="3">
        <v>45753</v>
      </c>
      <c r="B93" s="4" t="s">
        <v>176</v>
      </c>
    </row>
    <row r="94" spans="1:2" ht="13" x14ac:dyDescent="0.15">
      <c r="A94" s="3">
        <v>45746</v>
      </c>
      <c r="B94" s="4" t="s">
        <v>178</v>
      </c>
    </row>
    <row r="95" spans="1:2" ht="13" x14ac:dyDescent="0.15">
      <c r="A95" s="3">
        <v>45746</v>
      </c>
      <c r="B95" s="4" t="s">
        <v>180</v>
      </c>
    </row>
    <row r="96" spans="1:2" ht="13" x14ac:dyDescent="0.15">
      <c r="A96" s="3">
        <v>45746</v>
      </c>
      <c r="B96" s="4" t="s">
        <v>182</v>
      </c>
    </row>
    <row r="97" spans="1:2" ht="13" x14ac:dyDescent="0.15">
      <c r="A97" s="3">
        <v>45746</v>
      </c>
      <c r="B97" s="4" t="s">
        <v>183</v>
      </c>
    </row>
    <row r="98" spans="1:2" ht="13" x14ac:dyDescent="0.15">
      <c r="A98" s="3">
        <v>45746</v>
      </c>
      <c r="B98" s="4" t="s">
        <v>76</v>
      </c>
    </row>
    <row r="99" spans="1:2" ht="13" x14ac:dyDescent="0.15">
      <c r="A99" s="3">
        <v>45739</v>
      </c>
      <c r="B99" s="4" t="s">
        <v>86</v>
      </c>
    </row>
    <row r="100" spans="1:2" ht="13" x14ac:dyDescent="0.15">
      <c r="A100" s="3">
        <v>45739</v>
      </c>
      <c r="B100" s="4" t="s">
        <v>187</v>
      </c>
    </row>
    <row r="101" spans="1:2" ht="13" x14ac:dyDescent="0.15">
      <c r="A101" s="3">
        <v>45739</v>
      </c>
      <c r="B101" s="4" t="s">
        <v>189</v>
      </c>
    </row>
    <row r="102" spans="1:2" ht="13" x14ac:dyDescent="0.15">
      <c r="A102" s="3">
        <v>45739</v>
      </c>
      <c r="B102" s="4" t="s">
        <v>191</v>
      </c>
    </row>
    <row r="103" spans="1:2" ht="13" x14ac:dyDescent="0.15">
      <c r="A103" s="3">
        <v>45739</v>
      </c>
      <c r="B103" s="4" t="s">
        <v>193</v>
      </c>
    </row>
    <row r="104" spans="1:2" ht="13" x14ac:dyDescent="0.15">
      <c r="A104" s="3">
        <v>45739</v>
      </c>
      <c r="B104" s="4" t="s">
        <v>195</v>
      </c>
    </row>
    <row r="105" spans="1:2" ht="13" x14ac:dyDescent="0.15">
      <c r="A105" s="3">
        <v>45739</v>
      </c>
      <c r="B105" s="4" t="s">
        <v>70</v>
      </c>
    </row>
    <row r="106" spans="1:2" ht="13" x14ac:dyDescent="0.15">
      <c r="A106" s="3"/>
      <c r="B106" s="4"/>
    </row>
    <row r="107" spans="1:2" ht="13" x14ac:dyDescent="0.15">
      <c r="A107" s="3"/>
      <c r="B107" s="4"/>
    </row>
    <row r="108" spans="1:2" ht="13" x14ac:dyDescent="0.15">
      <c r="A108" s="3"/>
      <c r="B108" s="4"/>
    </row>
    <row r="109" spans="1:2" ht="13" x14ac:dyDescent="0.15">
      <c r="A109" s="3"/>
      <c r="B109" s="4"/>
    </row>
    <row r="110" spans="1:2" ht="13" x14ac:dyDescent="0.15">
      <c r="A110" s="3"/>
      <c r="B110" s="4"/>
    </row>
    <row r="111" spans="1:2" ht="13" x14ac:dyDescent="0.15">
      <c r="A111" s="3"/>
      <c r="B111" s="4"/>
    </row>
    <row r="112" spans="1:2" ht="13" x14ac:dyDescent="0.15">
      <c r="A112" s="3"/>
      <c r="B112" s="4"/>
    </row>
    <row r="113" spans="1:2" ht="13" x14ac:dyDescent="0.15">
      <c r="A113" s="3"/>
      <c r="B113" s="4"/>
    </row>
    <row r="114" spans="1:2" ht="13" x14ac:dyDescent="0.15">
      <c r="A114" s="3"/>
      <c r="B114" s="4"/>
    </row>
    <row r="115" spans="1:2" ht="13" x14ac:dyDescent="0.15">
      <c r="A115" s="3"/>
      <c r="B115" s="4"/>
    </row>
    <row r="116" spans="1:2" ht="13" x14ac:dyDescent="0.15">
      <c r="A116" s="3"/>
      <c r="B116" s="4"/>
    </row>
    <row r="117" spans="1:2" ht="13" x14ac:dyDescent="0.15">
      <c r="A117" s="3"/>
      <c r="B117" s="4"/>
    </row>
    <row r="118" spans="1:2" ht="13" x14ac:dyDescent="0.15">
      <c r="A118" s="3"/>
      <c r="B118" s="4"/>
    </row>
    <row r="119" spans="1:2" ht="13" x14ac:dyDescent="0.15">
      <c r="A119" s="3"/>
      <c r="B119" s="4"/>
    </row>
    <row r="120" spans="1:2" ht="13" x14ac:dyDescent="0.15">
      <c r="A120" s="3"/>
      <c r="B120" s="4"/>
    </row>
    <row r="121" spans="1:2" ht="13" x14ac:dyDescent="0.15">
      <c r="A121" s="3"/>
      <c r="B121" s="4"/>
    </row>
    <row r="122" spans="1:2" ht="13" x14ac:dyDescent="0.15">
      <c r="A122" s="3"/>
      <c r="B122" s="4"/>
    </row>
    <row r="123" spans="1:2" ht="13" x14ac:dyDescent="0.15">
      <c r="A123" s="3"/>
      <c r="B123" s="4"/>
    </row>
    <row r="124" spans="1:2" ht="13" x14ac:dyDescent="0.15">
      <c r="A124" s="3"/>
      <c r="B124" s="4"/>
    </row>
    <row r="125" spans="1:2" ht="13" x14ac:dyDescent="0.15">
      <c r="A125" s="3"/>
      <c r="B125" s="4"/>
    </row>
    <row r="126" spans="1:2" ht="13" x14ac:dyDescent="0.15">
      <c r="A126" s="3"/>
      <c r="B126" s="4"/>
    </row>
    <row r="127" spans="1:2" ht="13" x14ac:dyDescent="0.15">
      <c r="A127" s="3"/>
      <c r="B127" s="4"/>
    </row>
    <row r="128" spans="1:2" ht="13" x14ac:dyDescent="0.15">
      <c r="A128" s="3"/>
      <c r="B128" s="4"/>
    </row>
    <row r="129" spans="1:2" ht="13" x14ac:dyDescent="0.15">
      <c r="A129" s="3"/>
      <c r="B129" s="4"/>
    </row>
    <row r="130" spans="1:2" ht="13" x14ac:dyDescent="0.15">
      <c r="A130" s="3"/>
      <c r="B130" s="4"/>
    </row>
    <row r="131" spans="1:2" ht="13" x14ac:dyDescent="0.15">
      <c r="A131" s="3"/>
      <c r="B131" s="4"/>
    </row>
    <row r="132" spans="1:2" ht="13" x14ac:dyDescent="0.15">
      <c r="A132" s="3"/>
      <c r="B132" s="4"/>
    </row>
    <row r="133" spans="1:2" ht="13" x14ac:dyDescent="0.15">
      <c r="A133" s="3"/>
      <c r="B133" s="4"/>
    </row>
    <row r="134" spans="1:2" ht="13" x14ac:dyDescent="0.15">
      <c r="A134" s="3"/>
      <c r="B134" s="4"/>
    </row>
    <row r="135" spans="1:2" ht="13" x14ac:dyDescent="0.15">
      <c r="A135" s="3"/>
      <c r="B135" s="4"/>
    </row>
    <row r="136" spans="1:2" ht="13" x14ac:dyDescent="0.15">
      <c r="A136" s="3"/>
      <c r="B136" s="4"/>
    </row>
    <row r="137" spans="1:2" ht="13" x14ac:dyDescent="0.15">
      <c r="A137" s="3"/>
      <c r="B137" s="4"/>
    </row>
    <row r="138" spans="1:2" ht="13" x14ac:dyDescent="0.15">
      <c r="A138" s="3"/>
      <c r="B138" s="4"/>
    </row>
    <row r="139" spans="1:2" ht="13" x14ac:dyDescent="0.15">
      <c r="A139" s="3"/>
      <c r="B139" s="4"/>
    </row>
    <row r="140" spans="1:2" ht="13" x14ac:dyDescent="0.15">
      <c r="A140" s="3"/>
      <c r="B140" s="4"/>
    </row>
    <row r="141" spans="1:2" ht="13" x14ac:dyDescent="0.15">
      <c r="A141" s="3"/>
      <c r="B141" s="4"/>
    </row>
    <row r="142" spans="1:2" ht="13" x14ac:dyDescent="0.15">
      <c r="A142" s="3"/>
      <c r="B142" s="4"/>
    </row>
    <row r="143" spans="1:2" ht="13" x14ac:dyDescent="0.15">
      <c r="A143" s="3"/>
      <c r="B143" s="4"/>
    </row>
    <row r="144" spans="1:2" ht="13" x14ac:dyDescent="0.15">
      <c r="A144" s="3"/>
      <c r="B144" s="4"/>
    </row>
    <row r="145" spans="1:2" ht="13" x14ac:dyDescent="0.15">
      <c r="A145" s="3"/>
      <c r="B145" s="4"/>
    </row>
    <row r="146" spans="1:2" ht="13" x14ac:dyDescent="0.15">
      <c r="A146" s="3"/>
      <c r="B146" s="4"/>
    </row>
    <row r="147" spans="1:2" ht="13" x14ac:dyDescent="0.15">
      <c r="A147" s="3"/>
      <c r="B147" s="4"/>
    </row>
    <row r="148" spans="1:2" ht="13" x14ac:dyDescent="0.15">
      <c r="A148" s="3"/>
      <c r="B148" s="4"/>
    </row>
    <row r="149" spans="1:2" ht="13" x14ac:dyDescent="0.15">
      <c r="A149" s="3"/>
      <c r="B149" s="4"/>
    </row>
    <row r="150" spans="1:2" ht="13" x14ac:dyDescent="0.15">
      <c r="A150" s="3"/>
      <c r="B150" s="4"/>
    </row>
    <row r="151" spans="1:2" ht="13" x14ac:dyDescent="0.15">
      <c r="A151" s="3"/>
      <c r="B151" s="4"/>
    </row>
    <row r="152" spans="1:2" ht="13" x14ac:dyDescent="0.15">
      <c r="A152" s="3"/>
      <c r="B152" s="4"/>
    </row>
    <row r="153" spans="1:2" ht="13" x14ac:dyDescent="0.15">
      <c r="A153" s="3"/>
      <c r="B153" s="4"/>
    </row>
    <row r="154" spans="1:2" ht="13" x14ac:dyDescent="0.15">
      <c r="A154" s="3"/>
      <c r="B154" s="4"/>
    </row>
    <row r="155" spans="1:2" ht="13" x14ac:dyDescent="0.15">
      <c r="A155" s="3"/>
      <c r="B155" s="4"/>
    </row>
    <row r="156" spans="1:2" ht="13" x14ac:dyDescent="0.15">
      <c r="A156" s="3"/>
      <c r="B156" s="4"/>
    </row>
    <row r="157" spans="1:2" ht="13" x14ac:dyDescent="0.15">
      <c r="A157" s="3"/>
      <c r="B157" s="4"/>
    </row>
    <row r="158" spans="1:2" ht="13" x14ac:dyDescent="0.15">
      <c r="A158" s="3"/>
      <c r="B158" s="4"/>
    </row>
    <row r="159" spans="1:2" ht="13" x14ac:dyDescent="0.15">
      <c r="A159" s="3"/>
      <c r="B159" s="4"/>
    </row>
    <row r="160" spans="1:2" ht="13" x14ac:dyDescent="0.15">
      <c r="A160" s="3"/>
      <c r="B160" s="4"/>
    </row>
    <row r="161" spans="1:2" ht="13" x14ac:dyDescent="0.15">
      <c r="A161" s="3"/>
      <c r="B161" s="4"/>
    </row>
    <row r="162" spans="1:2" ht="13" x14ac:dyDescent="0.15">
      <c r="A162" s="3"/>
      <c r="B162" s="4"/>
    </row>
    <row r="163" spans="1:2" ht="13" x14ac:dyDescent="0.15">
      <c r="A163" s="3"/>
      <c r="B163" s="4"/>
    </row>
    <row r="164" spans="1:2" ht="13" x14ac:dyDescent="0.15">
      <c r="A164" s="3"/>
      <c r="B164" s="4"/>
    </row>
    <row r="165" spans="1:2" ht="13" x14ac:dyDescent="0.15">
      <c r="A165" s="3"/>
      <c r="B165" s="4"/>
    </row>
    <row r="166" spans="1:2" ht="13" x14ac:dyDescent="0.15">
      <c r="A166" s="3"/>
      <c r="B166" s="4"/>
    </row>
    <row r="167" spans="1:2" ht="13" x14ac:dyDescent="0.15">
      <c r="A167" s="3"/>
      <c r="B167" s="4"/>
    </row>
    <row r="168" spans="1:2" ht="13" x14ac:dyDescent="0.15">
      <c r="A168" s="3"/>
      <c r="B168" s="4"/>
    </row>
    <row r="169" spans="1:2" ht="13" x14ac:dyDescent="0.15">
      <c r="A169" s="3"/>
      <c r="B169" s="4"/>
    </row>
    <row r="170" spans="1:2" ht="13" x14ac:dyDescent="0.15">
      <c r="A170" s="3"/>
      <c r="B170" s="4"/>
    </row>
    <row r="171" spans="1:2" ht="13" x14ac:dyDescent="0.15">
      <c r="A171" s="3"/>
      <c r="B171" s="4"/>
    </row>
    <row r="172" spans="1:2" ht="13" x14ac:dyDescent="0.15">
      <c r="A172" s="3"/>
      <c r="B172" s="4"/>
    </row>
    <row r="173" spans="1:2" ht="13" x14ac:dyDescent="0.15">
      <c r="A173" s="3"/>
      <c r="B173" s="4"/>
    </row>
    <row r="174" spans="1:2" ht="13" x14ac:dyDescent="0.15">
      <c r="A174" s="3"/>
      <c r="B174" s="4"/>
    </row>
    <row r="175" spans="1:2" ht="13" x14ac:dyDescent="0.15">
      <c r="A175" s="3"/>
      <c r="B175" s="4"/>
    </row>
    <row r="176" spans="1:2" ht="13" x14ac:dyDescent="0.15">
      <c r="A176" s="3"/>
      <c r="B176" s="4"/>
    </row>
    <row r="177" spans="1:2" ht="13" x14ac:dyDescent="0.15">
      <c r="A177" s="3"/>
      <c r="B177" s="4"/>
    </row>
    <row r="178" spans="1:2" ht="13" x14ac:dyDescent="0.15">
      <c r="A178" s="3"/>
      <c r="B178" s="4"/>
    </row>
    <row r="179" spans="1:2" ht="13" x14ac:dyDescent="0.15">
      <c r="A179" s="3"/>
      <c r="B179" s="4"/>
    </row>
    <row r="180" spans="1:2" ht="13" x14ac:dyDescent="0.15">
      <c r="A180" s="3"/>
      <c r="B180" s="4"/>
    </row>
    <row r="181" spans="1:2" ht="13" x14ac:dyDescent="0.15">
      <c r="A181" s="3"/>
      <c r="B181" s="4"/>
    </row>
    <row r="182" spans="1:2" ht="13" x14ac:dyDescent="0.15">
      <c r="A182" s="3"/>
      <c r="B182" s="4"/>
    </row>
    <row r="183" spans="1:2" ht="13" x14ac:dyDescent="0.15">
      <c r="A183" s="3"/>
      <c r="B183" s="4"/>
    </row>
    <row r="184" spans="1:2" ht="13" x14ac:dyDescent="0.15">
      <c r="A184" s="3"/>
      <c r="B184" s="4"/>
    </row>
    <row r="185" spans="1:2" ht="13" x14ac:dyDescent="0.15">
      <c r="A185" s="3"/>
      <c r="B185" s="4"/>
    </row>
    <row r="186" spans="1:2" ht="13" x14ac:dyDescent="0.15">
      <c r="A186" s="3"/>
      <c r="B186" s="4"/>
    </row>
    <row r="187" spans="1:2" ht="13" x14ac:dyDescent="0.15">
      <c r="A187" s="3"/>
      <c r="B187" s="4"/>
    </row>
    <row r="188" spans="1:2" ht="13" x14ac:dyDescent="0.15">
      <c r="A188" s="3"/>
      <c r="B188" s="4"/>
    </row>
    <row r="189" spans="1:2" ht="13" x14ac:dyDescent="0.15">
      <c r="A189" s="3"/>
      <c r="B189" s="4"/>
    </row>
    <row r="190" spans="1:2" ht="13" x14ac:dyDescent="0.15">
      <c r="A190" s="3"/>
      <c r="B190" s="4"/>
    </row>
    <row r="191" spans="1:2" ht="13" x14ac:dyDescent="0.15">
      <c r="A191" s="3"/>
      <c r="B191" s="4"/>
    </row>
    <row r="192" spans="1:2" ht="13" x14ac:dyDescent="0.15">
      <c r="A192" s="3"/>
      <c r="B192" s="4"/>
    </row>
    <row r="193" spans="1:2" ht="13" x14ac:dyDescent="0.15">
      <c r="A193" s="3"/>
      <c r="B193" s="4"/>
    </row>
    <row r="194" spans="1:2" ht="13" x14ac:dyDescent="0.15">
      <c r="A194" s="3"/>
      <c r="B194" s="4"/>
    </row>
    <row r="195" spans="1:2" ht="13" x14ac:dyDescent="0.15">
      <c r="A195" s="3"/>
      <c r="B195" s="4"/>
    </row>
    <row r="196" spans="1:2" ht="13" x14ac:dyDescent="0.15">
      <c r="A196" s="3"/>
      <c r="B196" s="4"/>
    </row>
    <row r="197" spans="1:2" ht="13" x14ac:dyDescent="0.15">
      <c r="A197" s="3"/>
      <c r="B197" s="4"/>
    </row>
    <row r="198" spans="1:2" ht="13" x14ac:dyDescent="0.15">
      <c r="A198" s="3"/>
      <c r="B198" s="4"/>
    </row>
    <row r="199" spans="1:2" ht="13" x14ac:dyDescent="0.15">
      <c r="A199" s="3"/>
      <c r="B199" s="4"/>
    </row>
    <row r="200" spans="1:2" ht="13" x14ac:dyDescent="0.15">
      <c r="A200" s="3"/>
      <c r="B200" s="4"/>
    </row>
    <row r="201" spans="1:2" ht="13" x14ac:dyDescent="0.15">
      <c r="A201" s="3"/>
      <c r="B201" s="4"/>
    </row>
    <row r="202" spans="1:2" ht="13" x14ac:dyDescent="0.15">
      <c r="A202" s="3"/>
      <c r="B202" s="4"/>
    </row>
    <row r="203" spans="1:2" ht="13" x14ac:dyDescent="0.15">
      <c r="A203" s="3"/>
      <c r="B203" s="4"/>
    </row>
    <row r="204" spans="1:2" ht="13" x14ac:dyDescent="0.15">
      <c r="A204" s="3"/>
      <c r="B204" s="4"/>
    </row>
    <row r="205" spans="1:2" ht="13" x14ac:dyDescent="0.15">
      <c r="A205" s="3"/>
      <c r="B205" s="4"/>
    </row>
    <row r="206" spans="1:2" ht="13" x14ac:dyDescent="0.15">
      <c r="A206" s="3"/>
      <c r="B206" s="4"/>
    </row>
    <row r="207" spans="1:2" ht="13" x14ac:dyDescent="0.15">
      <c r="A207" s="3"/>
      <c r="B207" s="4"/>
    </row>
    <row r="208" spans="1:2" ht="13" x14ac:dyDescent="0.15">
      <c r="A208" s="3"/>
      <c r="B208" s="4"/>
    </row>
    <row r="209" spans="1:2" ht="13" x14ac:dyDescent="0.15">
      <c r="A209" s="3"/>
      <c r="B209" s="4"/>
    </row>
    <row r="210" spans="1:2" ht="13" x14ac:dyDescent="0.15">
      <c r="A210" s="3"/>
      <c r="B210" s="4"/>
    </row>
    <row r="211" spans="1:2" ht="13" x14ac:dyDescent="0.15">
      <c r="A211" s="3"/>
      <c r="B211" s="4"/>
    </row>
    <row r="212" spans="1:2" ht="13" x14ac:dyDescent="0.15">
      <c r="A212" s="3"/>
      <c r="B212" s="4"/>
    </row>
    <row r="213" spans="1:2" ht="13" x14ac:dyDescent="0.15">
      <c r="A213" s="3"/>
      <c r="B213" s="4"/>
    </row>
    <row r="214" spans="1:2" ht="13" x14ac:dyDescent="0.15">
      <c r="A214" s="3"/>
      <c r="B214" s="4"/>
    </row>
    <row r="215" spans="1:2" ht="13" x14ac:dyDescent="0.15">
      <c r="A215" s="3"/>
      <c r="B215" s="4"/>
    </row>
    <row r="216" spans="1:2" ht="13" x14ac:dyDescent="0.15">
      <c r="A216" s="3"/>
      <c r="B216" s="4"/>
    </row>
    <row r="217" spans="1:2" ht="13" x14ac:dyDescent="0.15">
      <c r="A217" s="3"/>
      <c r="B217" s="4"/>
    </row>
    <row r="218" spans="1:2" ht="13" x14ac:dyDescent="0.15">
      <c r="A218" s="3"/>
      <c r="B218" s="4"/>
    </row>
    <row r="219" spans="1:2" ht="13" x14ac:dyDescent="0.15">
      <c r="A219" s="3"/>
      <c r="B219" s="4"/>
    </row>
    <row r="220" spans="1:2" ht="13" x14ac:dyDescent="0.15">
      <c r="A220" s="3"/>
      <c r="B220" s="4"/>
    </row>
    <row r="221" spans="1:2" ht="13" x14ac:dyDescent="0.15">
      <c r="A221" s="3"/>
      <c r="B221" s="4"/>
    </row>
    <row r="222" spans="1:2" ht="13" x14ac:dyDescent="0.15">
      <c r="A222" s="3"/>
      <c r="B222" s="4"/>
    </row>
    <row r="223" spans="1:2" ht="13" x14ac:dyDescent="0.15">
      <c r="A223" s="3"/>
      <c r="B223" s="4"/>
    </row>
    <row r="224" spans="1:2" ht="13" x14ac:dyDescent="0.15">
      <c r="A224" s="3"/>
      <c r="B224" s="4"/>
    </row>
    <row r="225" spans="1:2" ht="13" x14ac:dyDescent="0.15">
      <c r="A225" s="3"/>
      <c r="B225" s="4"/>
    </row>
    <row r="226" spans="1:2" ht="13" x14ac:dyDescent="0.15">
      <c r="A226" s="3"/>
      <c r="B226" s="4"/>
    </row>
    <row r="227" spans="1:2" ht="13" x14ac:dyDescent="0.15">
      <c r="A227" s="3"/>
      <c r="B227" s="4"/>
    </row>
    <row r="228" spans="1:2" ht="13" x14ac:dyDescent="0.15">
      <c r="A228" s="3"/>
      <c r="B228" s="4"/>
    </row>
    <row r="229" spans="1:2" ht="13" x14ac:dyDescent="0.15">
      <c r="A229" s="3"/>
      <c r="B229" s="4"/>
    </row>
    <row r="230" spans="1:2" ht="13" x14ac:dyDescent="0.15">
      <c r="A230" s="3"/>
      <c r="B230" s="4"/>
    </row>
    <row r="231" spans="1:2" ht="13" x14ac:dyDescent="0.15">
      <c r="A231" s="3"/>
      <c r="B231" s="4"/>
    </row>
    <row r="232" spans="1:2" ht="13" x14ac:dyDescent="0.15">
      <c r="A232" s="3"/>
      <c r="B232" s="4"/>
    </row>
    <row r="233" spans="1:2" ht="13" x14ac:dyDescent="0.15">
      <c r="A233" s="3"/>
      <c r="B233" s="4"/>
    </row>
    <row r="234" spans="1:2" ht="13" x14ac:dyDescent="0.15">
      <c r="A234" s="3"/>
      <c r="B234" s="4"/>
    </row>
    <row r="235" spans="1:2" ht="13" x14ac:dyDescent="0.15">
      <c r="A235" s="3"/>
      <c r="B235" s="4"/>
    </row>
    <row r="236" spans="1:2" ht="13" x14ac:dyDescent="0.15">
      <c r="A236" s="3"/>
      <c r="B236" s="4"/>
    </row>
    <row r="237" spans="1:2" ht="13" x14ac:dyDescent="0.15">
      <c r="A237" s="3"/>
      <c r="B237" s="4"/>
    </row>
    <row r="238" spans="1:2" ht="13" x14ac:dyDescent="0.15">
      <c r="A238" s="3"/>
      <c r="B238" s="4"/>
    </row>
    <row r="239" spans="1:2" ht="13" x14ac:dyDescent="0.15">
      <c r="A239" s="3"/>
      <c r="B239" s="4"/>
    </row>
    <row r="240" spans="1:2" ht="13" x14ac:dyDescent="0.15">
      <c r="A240" s="3"/>
      <c r="B240" s="4"/>
    </row>
    <row r="241" spans="1:2" ht="13" x14ac:dyDescent="0.15">
      <c r="A241" s="3"/>
      <c r="B241" s="4"/>
    </row>
    <row r="242" spans="1:2" ht="13" x14ac:dyDescent="0.15">
      <c r="A242" s="3"/>
      <c r="B242" s="4"/>
    </row>
    <row r="243" spans="1:2" ht="13" x14ac:dyDescent="0.15">
      <c r="A243" s="3"/>
      <c r="B243" s="4"/>
    </row>
    <row r="244" spans="1:2" ht="13" x14ac:dyDescent="0.15">
      <c r="A244" s="3"/>
      <c r="B244" s="4"/>
    </row>
    <row r="245" spans="1:2" ht="13" x14ac:dyDescent="0.15">
      <c r="A245" s="3"/>
      <c r="B245" s="4"/>
    </row>
    <row r="246" spans="1:2" ht="13" x14ac:dyDescent="0.15">
      <c r="A246" s="3"/>
      <c r="B246" s="4"/>
    </row>
    <row r="247" spans="1:2" ht="13" x14ac:dyDescent="0.15">
      <c r="A247" s="3"/>
      <c r="B247" s="4"/>
    </row>
    <row r="248" spans="1:2" ht="13" x14ac:dyDescent="0.15">
      <c r="A248" s="3"/>
      <c r="B248" s="4"/>
    </row>
    <row r="249" spans="1:2" ht="13" x14ac:dyDescent="0.15">
      <c r="A249" s="3"/>
      <c r="B249" s="4"/>
    </row>
    <row r="250" spans="1:2" ht="13" x14ac:dyDescent="0.15">
      <c r="A250" s="3"/>
      <c r="B250" s="4"/>
    </row>
    <row r="251" spans="1:2" ht="13" x14ac:dyDescent="0.15">
      <c r="A251" s="3"/>
      <c r="B251" s="4"/>
    </row>
    <row r="252" spans="1:2" ht="13" x14ac:dyDescent="0.15">
      <c r="A252" s="3"/>
      <c r="B252" s="4"/>
    </row>
    <row r="253" spans="1:2" ht="13" x14ac:dyDescent="0.15">
      <c r="A253" s="3"/>
      <c r="B253" s="4"/>
    </row>
    <row r="254" spans="1:2" ht="13" x14ac:dyDescent="0.15">
      <c r="A254" s="3"/>
      <c r="B254" s="4"/>
    </row>
    <row r="255" spans="1:2" ht="13" x14ac:dyDescent="0.15">
      <c r="A255" s="3"/>
      <c r="B255" s="4"/>
    </row>
    <row r="256" spans="1:2" ht="13" x14ac:dyDescent="0.15">
      <c r="A256" s="3"/>
      <c r="B256" s="4"/>
    </row>
    <row r="257" spans="1:2" ht="13" x14ac:dyDescent="0.15">
      <c r="A257" s="3"/>
      <c r="B257" s="4"/>
    </row>
    <row r="258" spans="1:2" ht="13" x14ac:dyDescent="0.15">
      <c r="A258" s="3"/>
      <c r="B258" s="4"/>
    </row>
    <row r="259" spans="1:2" ht="13" x14ac:dyDescent="0.15">
      <c r="A259" s="3"/>
      <c r="B259" s="4"/>
    </row>
    <row r="260" spans="1:2" ht="13" x14ac:dyDescent="0.15">
      <c r="A260" s="3"/>
      <c r="B260" s="4"/>
    </row>
    <row r="261" spans="1:2" ht="13" x14ac:dyDescent="0.15">
      <c r="A261" s="3"/>
      <c r="B261" s="4"/>
    </row>
    <row r="262" spans="1:2" ht="13" x14ac:dyDescent="0.15">
      <c r="A262" s="3"/>
      <c r="B262" s="4"/>
    </row>
    <row r="263" spans="1:2" ht="13" x14ac:dyDescent="0.15">
      <c r="A263" s="3"/>
      <c r="B263" s="4"/>
    </row>
    <row r="264" spans="1:2" ht="13" x14ac:dyDescent="0.15">
      <c r="A264" s="3"/>
      <c r="B264" s="4"/>
    </row>
    <row r="265" spans="1:2" ht="13" x14ac:dyDescent="0.15">
      <c r="A265" s="3"/>
      <c r="B265" s="4"/>
    </row>
    <row r="266" spans="1:2" ht="13" x14ac:dyDescent="0.15">
      <c r="A266" s="3"/>
      <c r="B266" s="4"/>
    </row>
    <row r="267" spans="1:2" ht="13" x14ac:dyDescent="0.15">
      <c r="A267" s="3"/>
      <c r="B267" s="4"/>
    </row>
    <row r="268" spans="1:2" ht="13" x14ac:dyDescent="0.15">
      <c r="A268" s="3"/>
      <c r="B268" s="4"/>
    </row>
    <row r="269" spans="1:2" ht="13" x14ac:dyDescent="0.15">
      <c r="A269" s="3"/>
      <c r="B269" s="4"/>
    </row>
    <row r="270" spans="1:2" ht="13" x14ac:dyDescent="0.15">
      <c r="A270" s="3"/>
      <c r="B270" s="4"/>
    </row>
    <row r="271" spans="1:2" ht="13" x14ac:dyDescent="0.15">
      <c r="A271" s="3"/>
      <c r="B271" s="4"/>
    </row>
    <row r="272" spans="1:2" ht="13" x14ac:dyDescent="0.15">
      <c r="A272" s="3"/>
      <c r="B272" s="4"/>
    </row>
    <row r="273" spans="1:2" ht="13" x14ac:dyDescent="0.15">
      <c r="A273" s="3"/>
      <c r="B273" s="4"/>
    </row>
    <row r="274" spans="1:2" ht="13" x14ac:dyDescent="0.15">
      <c r="A274" s="3"/>
      <c r="B274" s="4"/>
    </row>
    <row r="275" spans="1:2" ht="13" x14ac:dyDescent="0.15">
      <c r="A275" s="3"/>
      <c r="B275" s="4"/>
    </row>
    <row r="276" spans="1:2" ht="13" x14ac:dyDescent="0.15">
      <c r="A276" s="3"/>
      <c r="B276" s="4"/>
    </row>
    <row r="277" spans="1:2" ht="13" x14ac:dyDescent="0.15">
      <c r="A277" s="3"/>
      <c r="B277" s="4"/>
    </row>
    <row r="278" spans="1:2" ht="13" x14ac:dyDescent="0.15">
      <c r="A278" s="3"/>
      <c r="B278" s="4"/>
    </row>
    <row r="279" spans="1:2" ht="13" x14ac:dyDescent="0.15">
      <c r="A279" s="3"/>
      <c r="B279" s="4"/>
    </row>
    <row r="280" spans="1:2" ht="13" x14ac:dyDescent="0.15">
      <c r="A280" s="3"/>
      <c r="B280" s="4"/>
    </row>
    <row r="281" spans="1:2" ht="13" x14ac:dyDescent="0.15">
      <c r="A281" s="3"/>
      <c r="B281" s="4"/>
    </row>
    <row r="282" spans="1:2" ht="13" x14ac:dyDescent="0.15">
      <c r="A282" s="3"/>
      <c r="B282" s="4"/>
    </row>
    <row r="283" spans="1:2" ht="13" x14ac:dyDescent="0.15">
      <c r="A283" s="3"/>
      <c r="B283" s="4"/>
    </row>
    <row r="284" spans="1:2" ht="13" x14ac:dyDescent="0.15">
      <c r="A284" s="3"/>
      <c r="B284" s="4"/>
    </row>
    <row r="285" spans="1:2" ht="13" x14ac:dyDescent="0.15">
      <c r="A285" s="3"/>
      <c r="B285" s="4"/>
    </row>
    <row r="286" spans="1:2" ht="13" x14ac:dyDescent="0.15">
      <c r="A286" s="3"/>
      <c r="B286" s="4"/>
    </row>
    <row r="287" spans="1:2" ht="13" x14ac:dyDescent="0.15">
      <c r="A287" s="3"/>
      <c r="B287" s="4"/>
    </row>
    <row r="288" spans="1:2" ht="13" x14ac:dyDescent="0.15">
      <c r="A288" s="3"/>
      <c r="B288" s="4"/>
    </row>
    <row r="289" spans="1:2" ht="13" x14ac:dyDescent="0.15">
      <c r="A289" s="3"/>
      <c r="B289" s="4"/>
    </row>
    <row r="290" spans="1:2" ht="13" x14ac:dyDescent="0.15">
      <c r="A290" s="3"/>
      <c r="B290" s="4"/>
    </row>
    <row r="291" spans="1:2" ht="13" x14ac:dyDescent="0.15">
      <c r="A291" s="3"/>
      <c r="B291" s="4"/>
    </row>
    <row r="292" spans="1:2" ht="13" x14ac:dyDescent="0.15">
      <c r="A292" s="3"/>
      <c r="B292" s="4"/>
    </row>
    <row r="293" spans="1:2" ht="13" x14ac:dyDescent="0.15">
      <c r="A293" s="3"/>
      <c r="B293" s="4"/>
    </row>
    <row r="294" spans="1:2" ht="13" x14ac:dyDescent="0.15">
      <c r="A294" s="3"/>
      <c r="B294" s="4"/>
    </row>
    <row r="295" spans="1:2" ht="13" x14ac:dyDescent="0.15">
      <c r="A295" s="3"/>
      <c r="B295" s="4"/>
    </row>
    <row r="296" spans="1:2" ht="13" x14ac:dyDescent="0.15">
      <c r="A296" s="3"/>
      <c r="B296" s="4"/>
    </row>
    <row r="297" spans="1:2" ht="13" x14ac:dyDescent="0.15">
      <c r="A297" s="3"/>
      <c r="B297" s="4"/>
    </row>
    <row r="298" spans="1:2" ht="13" x14ac:dyDescent="0.15">
      <c r="A298" s="3"/>
      <c r="B298" s="4"/>
    </row>
    <row r="299" spans="1:2" ht="13" x14ac:dyDescent="0.15">
      <c r="A299" s="3"/>
      <c r="B299" s="4"/>
    </row>
    <row r="300" spans="1:2" ht="13" x14ac:dyDescent="0.15">
      <c r="A300" s="3"/>
      <c r="B300" s="4"/>
    </row>
    <row r="301" spans="1:2" ht="13" x14ac:dyDescent="0.15">
      <c r="A301" s="3"/>
      <c r="B301" s="4"/>
    </row>
    <row r="302" spans="1:2" ht="13" x14ac:dyDescent="0.15">
      <c r="A302" s="3"/>
      <c r="B302" s="4"/>
    </row>
    <row r="303" spans="1:2" ht="13" x14ac:dyDescent="0.15">
      <c r="A303" s="3"/>
      <c r="B303" s="4"/>
    </row>
    <row r="304" spans="1:2" ht="13" x14ac:dyDescent="0.15">
      <c r="A304" s="3"/>
      <c r="B304" s="4"/>
    </row>
    <row r="305" spans="1:2" ht="13" x14ac:dyDescent="0.15">
      <c r="A305" s="3"/>
      <c r="B305" s="4"/>
    </row>
    <row r="306" spans="1:2" ht="13" x14ac:dyDescent="0.15">
      <c r="A306" s="3"/>
      <c r="B306" s="4"/>
    </row>
    <row r="307" spans="1:2" ht="13" x14ac:dyDescent="0.15">
      <c r="A307" s="3"/>
      <c r="B307" s="4"/>
    </row>
    <row r="308" spans="1:2" ht="13" x14ac:dyDescent="0.15">
      <c r="A308" s="3"/>
      <c r="B308" s="4"/>
    </row>
    <row r="309" spans="1:2" ht="13" x14ac:dyDescent="0.15">
      <c r="A309" s="3"/>
      <c r="B309" s="4"/>
    </row>
    <row r="310" spans="1:2" ht="13" x14ac:dyDescent="0.15">
      <c r="A310" s="3"/>
      <c r="B310" s="4"/>
    </row>
    <row r="311" spans="1:2" ht="13" x14ac:dyDescent="0.15">
      <c r="A311" s="3"/>
      <c r="B311" s="4"/>
    </row>
    <row r="312" spans="1:2" ht="13" x14ac:dyDescent="0.15">
      <c r="A312" s="3"/>
      <c r="B312" s="4"/>
    </row>
    <row r="313" spans="1:2" ht="13" x14ac:dyDescent="0.15">
      <c r="A313" s="3"/>
      <c r="B313" s="4"/>
    </row>
    <row r="314" spans="1:2" ht="13" x14ac:dyDescent="0.15">
      <c r="A314" s="3"/>
      <c r="B314" s="4"/>
    </row>
    <row r="315" spans="1:2" ht="13" x14ac:dyDescent="0.15">
      <c r="A315" s="3"/>
      <c r="B315" s="4"/>
    </row>
    <row r="316" spans="1:2" ht="13" x14ac:dyDescent="0.15">
      <c r="A316" s="3"/>
      <c r="B316" s="4"/>
    </row>
    <row r="317" spans="1:2" ht="13" x14ac:dyDescent="0.15">
      <c r="A317" s="3"/>
      <c r="B317" s="4"/>
    </row>
    <row r="318" spans="1:2" ht="13" x14ac:dyDescent="0.15">
      <c r="A318" s="3"/>
      <c r="B318" s="4"/>
    </row>
    <row r="319" spans="1:2" ht="13" x14ac:dyDescent="0.15">
      <c r="A319" s="3"/>
      <c r="B319" s="4"/>
    </row>
    <row r="320" spans="1:2" ht="13" x14ac:dyDescent="0.15">
      <c r="A320" s="3"/>
      <c r="B320" s="4"/>
    </row>
    <row r="321" spans="1:2" ht="13" x14ac:dyDescent="0.15">
      <c r="A321" s="3"/>
      <c r="B321" s="4"/>
    </row>
    <row r="322" spans="1:2" ht="13" x14ac:dyDescent="0.15">
      <c r="A322" s="3"/>
      <c r="B322" s="4"/>
    </row>
    <row r="323" spans="1:2" ht="13" x14ac:dyDescent="0.15">
      <c r="A323" s="3"/>
      <c r="B323" s="4"/>
    </row>
    <row r="324" spans="1:2" ht="13" x14ac:dyDescent="0.15">
      <c r="A324" s="3"/>
      <c r="B324" s="4"/>
    </row>
    <row r="325" spans="1:2" ht="13" x14ac:dyDescent="0.15">
      <c r="A325" s="3"/>
      <c r="B325" s="4"/>
    </row>
    <row r="326" spans="1:2" ht="13" x14ac:dyDescent="0.15">
      <c r="A326" s="3"/>
      <c r="B326" s="4"/>
    </row>
    <row r="327" spans="1:2" ht="13" x14ac:dyDescent="0.15">
      <c r="A327" s="3"/>
      <c r="B327" s="4"/>
    </row>
    <row r="328" spans="1:2" ht="13" x14ac:dyDescent="0.15">
      <c r="A328" s="3"/>
      <c r="B328" s="4"/>
    </row>
    <row r="329" spans="1:2" ht="13" x14ac:dyDescent="0.15">
      <c r="A329" s="3"/>
      <c r="B329" s="4"/>
    </row>
    <row r="330" spans="1:2" ht="13" x14ac:dyDescent="0.15">
      <c r="A330" s="3"/>
      <c r="B330" s="4"/>
    </row>
    <row r="331" spans="1:2" ht="13" x14ac:dyDescent="0.15">
      <c r="A331" s="3"/>
      <c r="B331" s="4"/>
    </row>
    <row r="332" spans="1:2" ht="13" x14ac:dyDescent="0.15">
      <c r="A332" s="3"/>
      <c r="B332" s="4"/>
    </row>
    <row r="333" spans="1:2" ht="13" x14ac:dyDescent="0.15">
      <c r="A333" s="3"/>
      <c r="B333" s="4"/>
    </row>
    <row r="334" spans="1:2" ht="13" x14ac:dyDescent="0.15">
      <c r="A334" s="3"/>
      <c r="B334" s="4"/>
    </row>
    <row r="335" spans="1:2" ht="13" x14ac:dyDescent="0.15">
      <c r="A335" s="3"/>
      <c r="B335" s="4"/>
    </row>
    <row r="336" spans="1:2" ht="13" x14ac:dyDescent="0.15">
      <c r="A336" s="3"/>
      <c r="B336" s="4"/>
    </row>
    <row r="337" spans="1:2" ht="13" x14ac:dyDescent="0.15">
      <c r="A337" s="3"/>
      <c r="B337" s="4"/>
    </row>
    <row r="338" spans="1:2" ht="13" x14ac:dyDescent="0.15">
      <c r="A338" s="3"/>
      <c r="B338" s="4"/>
    </row>
    <row r="339" spans="1:2" ht="13" x14ac:dyDescent="0.15">
      <c r="A339" s="3"/>
      <c r="B339" s="4"/>
    </row>
    <row r="340" spans="1:2" ht="13" x14ac:dyDescent="0.15">
      <c r="A340" s="3"/>
      <c r="B340" s="4"/>
    </row>
    <row r="341" spans="1:2" ht="13" x14ac:dyDescent="0.15">
      <c r="A341" s="3"/>
      <c r="B341" s="4"/>
    </row>
    <row r="342" spans="1:2" ht="13" x14ac:dyDescent="0.15">
      <c r="A342" s="3"/>
      <c r="B342" s="4"/>
    </row>
    <row r="343" spans="1:2" ht="13" x14ac:dyDescent="0.15">
      <c r="A343" s="3"/>
      <c r="B343" s="4"/>
    </row>
    <row r="344" spans="1:2" ht="13" x14ac:dyDescent="0.15">
      <c r="A344" s="3"/>
      <c r="B344" s="4"/>
    </row>
    <row r="345" spans="1:2" ht="13" x14ac:dyDescent="0.15">
      <c r="A345" s="3"/>
      <c r="B345" s="4"/>
    </row>
    <row r="346" spans="1:2" ht="13" x14ac:dyDescent="0.15">
      <c r="A346" s="3"/>
      <c r="B346" s="4"/>
    </row>
    <row r="347" spans="1:2" ht="13" x14ac:dyDescent="0.15">
      <c r="A347" s="3"/>
      <c r="B347" s="4"/>
    </row>
    <row r="348" spans="1:2" ht="13" x14ac:dyDescent="0.15">
      <c r="A348" s="3"/>
      <c r="B348" s="4"/>
    </row>
    <row r="349" spans="1:2" ht="13" x14ac:dyDescent="0.15">
      <c r="A349" s="3"/>
      <c r="B349" s="4"/>
    </row>
    <row r="350" spans="1:2" ht="13" x14ac:dyDescent="0.15">
      <c r="A350" s="3"/>
      <c r="B350" s="4"/>
    </row>
    <row r="351" spans="1:2" ht="13" x14ac:dyDescent="0.15">
      <c r="A351" s="3"/>
      <c r="B351" s="4"/>
    </row>
    <row r="352" spans="1:2" ht="13" x14ac:dyDescent="0.15">
      <c r="A352" s="3"/>
      <c r="B352" s="4"/>
    </row>
    <row r="353" spans="1:2" ht="13" x14ac:dyDescent="0.15">
      <c r="A353" s="3"/>
      <c r="B353" s="4"/>
    </row>
    <row r="354" spans="1:2" ht="13" x14ac:dyDescent="0.15">
      <c r="A354" s="3"/>
      <c r="B354" s="4"/>
    </row>
    <row r="355" spans="1:2" ht="13" x14ac:dyDescent="0.15">
      <c r="A355" s="3"/>
      <c r="B355" s="4"/>
    </row>
    <row r="356" spans="1:2" ht="13" x14ac:dyDescent="0.15">
      <c r="A356" s="3"/>
      <c r="B356" s="4"/>
    </row>
    <row r="357" spans="1:2" ht="13" x14ac:dyDescent="0.15">
      <c r="A357" s="3"/>
      <c r="B357" s="4"/>
    </row>
    <row r="358" spans="1:2" ht="13" x14ac:dyDescent="0.15">
      <c r="A358" s="3"/>
      <c r="B358" s="4"/>
    </row>
    <row r="359" spans="1:2" ht="13" x14ac:dyDescent="0.15">
      <c r="A359" s="3"/>
      <c r="B359" s="4"/>
    </row>
    <row r="360" spans="1:2" ht="13" x14ac:dyDescent="0.15">
      <c r="A360" s="3"/>
      <c r="B360" s="4"/>
    </row>
    <row r="361" spans="1:2" ht="13" x14ac:dyDescent="0.15">
      <c r="A361" s="3"/>
      <c r="B361" s="4"/>
    </row>
    <row r="362" spans="1:2" ht="13" x14ac:dyDescent="0.15">
      <c r="A362" s="3"/>
      <c r="B362" s="4"/>
    </row>
    <row r="363" spans="1:2" ht="13" x14ac:dyDescent="0.15">
      <c r="A363" s="3"/>
      <c r="B363" s="4"/>
    </row>
    <row r="364" spans="1:2" ht="13" x14ac:dyDescent="0.15">
      <c r="A364" s="3"/>
      <c r="B364" s="4"/>
    </row>
    <row r="365" spans="1:2" ht="13" x14ac:dyDescent="0.15">
      <c r="A365" s="3"/>
      <c r="B365" s="4"/>
    </row>
    <row r="366" spans="1:2" ht="13" x14ac:dyDescent="0.15">
      <c r="A366" s="3"/>
      <c r="B366" s="4"/>
    </row>
    <row r="367" spans="1:2" ht="13" x14ac:dyDescent="0.15">
      <c r="A367" s="3"/>
      <c r="B367" s="4"/>
    </row>
    <row r="368" spans="1:2" ht="13" x14ac:dyDescent="0.15">
      <c r="A368" s="3"/>
      <c r="B368" s="4"/>
    </row>
    <row r="369" spans="1:2" ht="13" x14ac:dyDescent="0.15">
      <c r="A369" s="3"/>
      <c r="B369" s="4"/>
    </row>
    <row r="370" spans="1:2" ht="13" x14ac:dyDescent="0.15">
      <c r="A370" s="3"/>
      <c r="B370" s="4"/>
    </row>
    <row r="371" spans="1:2" ht="13" x14ac:dyDescent="0.15">
      <c r="A371" s="3"/>
      <c r="B371" s="4"/>
    </row>
    <row r="372" spans="1:2" ht="13" x14ac:dyDescent="0.15">
      <c r="A372" s="3"/>
      <c r="B372" s="4"/>
    </row>
    <row r="373" spans="1:2" ht="13" x14ac:dyDescent="0.15">
      <c r="A373" s="3"/>
      <c r="B373" s="4"/>
    </row>
    <row r="374" spans="1:2" ht="13" x14ac:dyDescent="0.15">
      <c r="A374" s="3"/>
      <c r="B374" s="4"/>
    </row>
    <row r="375" spans="1:2" ht="13" x14ac:dyDescent="0.15">
      <c r="A375" s="3"/>
      <c r="B375" s="4"/>
    </row>
    <row r="376" spans="1:2" ht="13" x14ac:dyDescent="0.15">
      <c r="A376" s="3"/>
      <c r="B376" s="4"/>
    </row>
    <row r="377" spans="1:2" ht="13" x14ac:dyDescent="0.15">
      <c r="A377" s="3"/>
      <c r="B377" s="4"/>
    </row>
    <row r="378" spans="1:2" ht="13" x14ac:dyDescent="0.15">
      <c r="A378" s="3"/>
      <c r="B378" s="4"/>
    </row>
    <row r="379" spans="1:2" ht="13" x14ac:dyDescent="0.15">
      <c r="A379" s="3"/>
      <c r="B379" s="4"/>
    </row>
    <row r="380" spans="1:2" ht="13" x14ac:dyDescent="0.15">
      <c r="A380" s="3"/>
      <c r="B380" s="4"/>
    </row>
    <row r="381" spans="1:2" ht="13" x14ac:dyDescent="0.15">
      <c r="A381" s="3"/>
      <c r="B381" s="4"/>
    </row>
    <row r="382" spans="1:2" ht="13" x14ac:dyDescent="0.15">
      <c r="A382" s="3"/>
      <c r="B382" s="4"/>
    </row>
    <row r="383" spans="1:2" ht="13" x14ac:dyDescent="0.15">
      <c r="A383" s="3"/>
      <c r="B383" s="4"/>
    </row>
    <row r="384" spans="1:2" ht="13" x14ac:dyDescent="0.15">
      <c r="A384" s="3"/>
      <c r="B384" s="4"/>
    </row>
    <row r="385" spans="1:2" ht="13" x14ac:dyDescent="0.15">
      <c r="A385" s="3"/>
      <c r="B385" s="4"/>
    </row>
    <row r="386" spans="1:2" ht="13" x14ac:dyDescent="0.15">
      <c r="A386" s="3"/>
      <c r="B386" s="4"/>
    </row>
    <row r="387" spans="1:2" ht="13" x14ac:dyDescent="0.15">
      <c r="A387" s="3"/>
      <c r="B387" s="4"/>
    </row>
    <row r="388" spans="1:2" ht="13" x14ac:dyDescent="0.15">
      <c r="A388" s="3"/>
      <c r="B388" s="4"/>
    </row>
    <row r="389" spans="1:2" ht="13" x14ac:dyDescent="0.15">
      <c r="A389" s="3"/>
      <c r="B389" s="4"/>
    </row>
    <row r="390" spans="1:2" ht="13" x14ac:dyDescent="0.15">
      <c r="A390" s="3"/>
      <c r="B390" s="4"/>
    </row>
    <row r="391" spans="1:2" ht="13" x14ac:dyDescent="0.15">
      <c r="A391" s="3"/>
      <c r="B391" s="4"/>
    </row>
    <row r="392" spans="1:2" ht="13" x14ac:dyDescent="0.15">
      <c r="A392" s="3"/>
      <c r="B392" s="4"/>
    </row>
    <row r="393" spans="1:2" ht="13" x14ac:dyDescent="0.15">
      <c r="A393" s="3"/>
      <c r="B393" s="4"/>
    </row>
    <row r="394" spans="1:2" ht="13" x14ac:dyDescent="0.15">
      <c r="A394" s="3"/>
      <c r="B394" s="4"/>
    </row>
    <row r="395" spans="1:2" ht="13" x14ac:dyDescent="0.15">
      <c r="A395" s="3"/>
      <c r="B395" s="4"/>
    </row>
    <row r="396" spans="1:2" ht="13" x14ac:dyDescent="0.15">
      <c r="A396" s="3"/>
      <c r="B396" s="4"/>
    </row>
    <row r="397" spans="1:2" ht="13" x14ac:dyDescent="0.15">
      <c r="A397" s="3"/>
      <c r="B397" s="4"/>
    </row>
    <row r="398" spans="1:2" ht="13" x14ac:dyDescent="0.15">
      <c r="A398" s="3"/>
      <c r="B398" s="4"/>
    </row>
    <row r="399" spans="1:2" ht="13" x14ac:dyDescent="0.15">
      <c r="A399" s="3"/>
      <c r="B399" s="4"/>
    </row>
    <row r="400" spans="1:2" ht="13" x14ac:dyDescent="0.15">
      <c r="A400" s="3"/>
      <c r="B400" s="4"/>
    </row>
    <row r="401" spans="1:2" ht="13" x14ac:dyDescent="0.15">
      <c r="A401" s="3"/>
      <c r="B401" s="4"/>
    </row>
    <row r="402" spans="1:2" ht="13" x14ac:dyDescent="0.15">
      <c r="A402" s="3"/>
      <c r="B402" s="4"/>
    </row>
    <row r="403" spans="1:2" ht="13" x14ac:dyDescent="0.15">
      <c r="A403" s="3"/>
      <c r="B403" s="4"/>
    </row>
    <row r="404" spans="1:2" ht="13" x14ac:dyDescent="0.15">
      <c r="A404" s="3"/>
      <c r="B404" s="4"/>
    </row>
    <row r="405" spans="1:2" ht="13" x14ac:dyDescent="0.15">
      <c r="A405" s="3"/>
      <c r="B405" s="4"/>
    </row>
    <row r="406" spans="1:2" ht="13" x14ac:dyDescent="0.15">
      <c r="A406" s="3"/>
      <c r="B406" s="4"/>
    </row>
    <row r="407" spans="1:2" ht="13" x14ac:dyDescent="0.15">
      <c r="A407" s="3"/>
      <c r="B407" s="4"/>
    </row>
    <row r="408" spans="1:2" ht="13" x14ac:dyDescent="0.15">
      <c r="A408" s="3"/>
      <c r="B408" s="4"/>
    </row>
    <row r="409" spans="1:2" ht="13" x14ac:dyDescent="0.15">
      <c r="A409" s="3"/>
      <c r="B409" s="4"/>
    </row>
    <row r="410" spans="1:2" ht="13" x14ac:dyDescent="0.15">
      <c r="A410" s="3"/>
      <c r="B410" s="4"/>
    </row>
    <row r="411" spans="1:2" ht="13" x14ac:dyDescent="0.15">
      <c r="A411" s="3"/>
      <c r="B411" s="4"/>
    </row>
    <row r="412" spans="1:2" ht="13" x14ac:dyDescent="0.15">
      <c r="A412" s="3"/>
      <c r="B412" s="4"/>
    </row>
    <row r="413" spans="1:2" ht="13" x14ac:dyDescent="0.15">
      <c r="A413" s="3"/>
      <c r="B413" s="4"/>
    </row>
    <row r="414" spans="1:2" ht="13" x14ac:dyDescent="0.15">
      <c r="A414" s="3"/>
      <c r="B414" s="4"/>
    </row>
    <row r="415" spans="1:2" ht="13" x14ac:dyDescent="0.15">
      <c r="A415" s="3"/>
      <c r="B415" s="4"/>
    </row>
    <row r="416" spans="1:2" ht="13" x14ac:dyDescent="0.15">
      <c r="A416" s="3"/>
      <c r="B416" s="4"/>
    </row>
    <row r="417" spans="1:2" ht="13" x14ac:dyDescent="0.15">
      <c r="A417" s="3"/>
      <c r="B417" s="4"/>
    </row>
    <row r="418" spans="1:2" ht="13" x14ac:dyDescent="0.15">
      <c r="A418" s="3"/>
      <c r="B418" s="4"/>
    </row>
    <row r="419" spans="1:2" ht="13" x14ac:dyDescent="0.15">
      <c r="A419" s="3"/>
      <c r="B419" s="4"/>
    </row>
    <row r="420" spans="1:2" ht="13" x14ac:dyDescent="0.15">
      <c r="A420" s="3"/>
      <c r="B420" s="4"/>
    </row>
    <row r="421" spans="1:2" ht="13" x14ac:dyDescent="0.15">
      <c r="A421" s="3"/>
      <c r="B421" s="4"/>
    </row>
    <row r="422" spans="1:2" ht="13" x14ac:dyDescent="0.15">
      <c r="A422" s="3"/>
      <c r="B422" s="4"/>
    </row>
    <row r="423" spans="1:2" ht="13" x14ac:dyDescent="0.15">
      <c r="A423" s="3"/>
      <c r="B423" s="4"/>
    </row>
    <row r="424" spans="1:2" ht="13" x14ac:dyDescent="0.15">
      <c r="A424" s="3"/>
      <c r="B424" s="4"/>
    </row>
    <row r="425" spans="1:2" ht="13" x14ac:dyDescent="0.15">
      <c r="A425" s="3"/>
      <c r="B425" s="4"/>
    </row>
    <row r="426" spans="1:2" ht="13" x14ac:dyDescent="0.15">
      <c r="A426" s="3"/>
      <c r="B426" s="4"/>
    </row>
    <row r="427" spans="1:2" ht="13" x14ac:dyDescent="0.15">
      <c r="A427" s="3"/>
      <c r="B427" s="4"/>
    </row>
    <row r="428" spans="1:2" ht="13" x14ac:dyDescent="0.15">
      <c r="A428" s="3"/>
      <c r="B428" s="4"/>
    </row>
    <row r="429" spans="1:2" ht="13" x14ac:dyDescent="0.15">
      <c r="A429" s="3"/>
      <c r="B429" s="4"/>
    </row>
    <row r="430" spans="1:2" ht="13" x14ac:dyDescent="0.15">
      <c r="A430" s="3"/>
      <c r="B430" s="4"/>
    </row>
    <row r="431" spans="1:2" ht="13" x14ac:dyDescent="0.15">
      <c r="A431" s="3"/>
      <c r="B431" s="4"/>
    </row>
    <row r="432" spans="1:2" ht="13" x14ac:dyDescent="0.15">
      <c r="A432" s="3"/>
      <c r="B432" s="4"/>
    </row>
    <row r="433" spans="1:2" ht="13" x14ac:dyDescent="0.15">
      <c r="A433" s="3"/>
      <c r="B433" s="4"/>
    </row>
    <row r="434" spans="1:2" ht="13" x14ac:dyDescent="0.15">
      <c r="A434" s="3"/>
      <c r="B434" s="4"/>
    </row>
    <row r="435" spans="1:2" ht="13" x14ac:dyDescent="0.15">
      <c r="A435" s="3"/>
      <c r="B435" s="4"/>
    </row>
    <row r="436" spans="1:2" ht="13" x14ac:dyDescent="0.15">
      <c r="A436" s="3"/>
      <c r="B436" s="4"/>
    </row>
    <row r="437" spans="1:2" ht="13" x14ac:dyDescent="0.15">
      <c r="A437" s="3"/>
      <c r="B437" s="4"/>
    </row>
    <row r="438" spans="1:2" ht="13" x14ac:dyDescent="0.15">
      <c r="A438" s="3"/>
      <c r="B438" s="4"/>
    </row>
    <row r="439" spans="1:2" ht="13" x14ac:dyDescent="0.15">
      <c r="A439" s="3"/>
      <c r="B439" s="4"/>
    </row>
    <row r="440" spans="1:2" ht="13" x14ac:dyDescent="0.15">
      <c r="A440" s="3"/>
      <c r="B440" s="4"/>
    </row>
    <row r="441" spans="1:2" ht="13" x14ac:dyDescent="0.15">
      <c r="A441" s="3"/>
      <c r="B441" s="4"/>
    </row>
    <row r="442" spans="1:2" ht="13" x14ac:dyDescent="0.15">
      <c r="A442" s="3"/>
      <c r="B442" s="4"/>
    </row>
    <row r="443" spans="1:2" ht="13" x14ac:dyDescent="0.15">
      <c r="A443" s="3"/>
      <c r="B443" s="4"/>
    </row>
    <row r="444" spans="1:2" ht="13" x14ac:dyDescent="0.15">
      <c r="A444" s="3"/>
      <c r="B444" s="4"/>
    </row>
    <row r="445" spans="1:2" ht="13" x14ac:dyDescent="0.15">
      <c r="A445" s="3"/>
      <c r="B445" s="4"/>
    </row>
    <row r="446" spans="1:2" ht="13" x14ac:dyDescent="0.15">
      <c r="A446" s="3"/>
      <c r="B446" s="4"/>
    </row>
    <row r="447" spans="1:2" ht="13" x14ac:dyDescent="0.15">
      <c r="A447" s="3"/>
      <c r="B447" s="4"/>
    </row>
    <row r="448" spans="1:2" ht="13" x14ac:dyDescent="0.15">
      <c r="A448" s="3"/>
      <c r="B448" s="4"/>
    </row>
    <row r="449" spans="1:2" ht="13" x14ac:dyDescent="0.15">
      <c r="A449" s="3"/>
      <c r="B449" s="4"/>
    </row>
    <row r="450" spans="1:2" ht="13" x14ac:dyDescent="0.15">
      <c r="A450" s="3"/>
      <c r="B450" s="4"/>
    </row>
    <row r="451" spans="1:2" ht="13" x14ac:dyDescent="0.15">
      <c r="A451" s="3"/>
      <c r="B451" s="4"/>
    </row>
    <row r="452" spans="1:2" ht="13" x14ac:dyDescent="0.15">
      <c r="A452" s="3"/>
      <c r="B452" s="4"/>
    </row>
    <row r="453" spans="1:2" ht="13" x14ac:dyDescent="0.15">
      <c r="A453" s="3"/>
      <c r="B453" s="4"/>
    </row>
    <row r="454" spans="1:2" ht="13" x14ac:dyDescent="0.15">
      <c r="A454" s="3"/>
      <c r="B454" s="4"/>
    </row>
    <row r="455" spans="1:2" ht="13" x14ac:dyDescent="0.15">
      <c r="A455" s="3"/>
      <c r="B455" s="4"/>
    </row>
    <row r="456" spans="1:2" ht="13" x14ac:dyDescent="0.15">
      <c r="A456" s="3"/>
      <c r="B456" s="4"/>
    </row>
    <row r="457" spans="1:2" ht="13" x14ac:dyDescent="0.15">
      <c r="A457" s="3"/>
      <c r="B457" s="4"/>
    </row>
    <row r="458" spans="1:2" ht="13" x14ac:dyDescent="0.15">
      <c r="A458" s="3"/>
      <c r="B458" s="4"/>
    </row>
    <row r="459" spans="1:2" ht="13" x14ac:dyDescent="0.15">
      <c r="A459" s="3"/>
      <c r="B459" s="4"/>
    </row>
    <row r="460" spans="1:2" ht="13" x14ac:dyDescent="0.15">
      <c r="A460" s="3"/>
      <c r="B460" s="4"/>
    </row>
    <row r="461" spans="1:2" ht="13" x14ac:dyDescent="0.15">
      <c r="A461" s="3"/>
      <c r="B461" s="4"/>
    </row>
    <row r="462" spans="1:2" ht="13" x14ac:dyDescent="0.15">
      <c r="A462" s="3"/>
      <c r="B462" s="4"/>
    </row>
    <row r="463" spans="1:2" ht="13" x14ac:dyDescent="0.15">
      <c r="A463" s="3"/>
      <c r="B463" s="4"/>
    </row>
    <row r="464" spans="1:2" ht="13" x14ac:dyDescent="0.15">
      <c r="A464" s="3"/>
      <c r="B464" s="4"/>
    </row>
    <row r="465" spans="1:2" ht="13" x14ac:dyDescent="0.15">
      <c r="A465" s="3"/>
      <c r="B465" s="4"/>
    </row>
    <row r="466" spans="1:2" ht="13" x14ac:dyDescent="0.15">
      <c r="A466" s="3"/>
      <c r="B466" s="4"/>
    </row>
    <row r="467" spans="1:2" ht="13" x14ac:dyDescent="0.15">
      <c r="A467" s="3"/>
      <c r="B467" s="4"/>
    </row>
    <row r="468" spans="1:2" ht="13" x14ac:dyDescent="0.15">
      <c r="A468" s="3"/>
      <c r="B468" s="4"/>
    </row>
    <row r="469" spans="1:2" ht="13" x14ac:dyDescent="0.15">
      <c r="A469" s="3"/>
      <c r="B469" s="4"/>
    </row>
    <row r="470" spans="1:2" ht="13" x14ac:dyDescent="0.15">
      <c r="A470" s="3"/>
      <c r="B470" s="4"/>
    </row>
    <row r="471" spans="1:2" ht="13" x14ac:dyDescent="0.15">
      <c r="A471" s="3"/>
      <c r="B471" s="4"/>
    </row>
    <row r="472" spans="1:2" ht="13" x14ac:dyDescent="0.15">
      <c r="A472" s="3"/>
      <c r="B472" s="4"/>
    </row>
    <row r="473" spans="1:2" ht="13" x14ac:dyDescent="0.15">
      <c r="A473" s="3"/>
      <c r="B473" s="4"/>
    </row>
    <row r="474" spans="1:2" ht="13" x14ac:dyDescent="0.15">
      <c r="A474" s="3"/>
      <c r="B474" s="4"/>
    </row>
    <row r="475" spans="1:2" ht="13" x14ac:dyDescent="0.15">
      <c r="A475" s="3"/>
      <c r="B475" s="4"/>
    </row>
    <row r="476" spans="1:2" ht="13" x14ac:dyDescent="0.15">
      <c r="A476" s="3"/>
      <c r="B476" s="4"/>
    </row>
    <row r="477" spans="1:2" ht="13" x14ac:dyDescent="0.15">
      <c r="A477" s="3"/>
      <c r="B477" s="4"/>
    </row>
    <row r="478" spans="1:2" ht="13" x14ac:dyDescent="0.15">
      <c r="A478" s="3"/>
      <c r="B478" s="4"/>
    </row>
    <row r="479" spans="1:2" ht="13" x14ac:dyDescent="0.15">
      <c r="A479" s="3"/>
      <c r="B479" s="4"/>
    </row>
    <row r="480" spans="1:2" ht="13" x14ac:dyDescent="0.15">
      <c r="A480" s="3"/>
      <c r="B480" s="4"/>
    </row>
    <row r="481" spans="1:2" ht="13" x14ac:dyDescent="0.15">
      <c r="A481" s="3"/>
      <c r="B481" s="4"/>
    </row>
    <row r="482" spans="1:2" ht="13" x14ac:dyDescent="0.15">
      <c r="A482" s="3"/>
      <c r="B482" s="4"/>
    </row>
    <row r="483" spans="1:2" ht="13" x14ac:dyDescent="0.15">
      <c r="A483" s="3"/>
      <c r="B483" s="4"/>
    </row>
    <row r="484" spans="1:2" ht="13" x14ac:dyDescent="0.15">
      <c r="A484" s="3"/>
      <c r="B484" s="4"/>
    </row>
    <row r="485" spans="1:2" ht="13" x14ac:dyDescent="0.15">
      <c r="A485" s="3"/>
      <c r="B485" s="4"/>
    </row>
    <row r="486" spans="1:2" ht="13" x14ac:dyDescent="0.15">
      <c r="A486" s="3"/>
      <c r="B486" s="4"/>
    </row>
    <row r="487" spans="1:2" ht="13" x14ac:dyDescent="0.15">
      <c r="A487" s="3"/>
      <c r="B487" s="4"/>
    </row>
    <row r="488" spans="1:2" ht="13" x14ac:dyDescent="0.15">
      <c r="A488" s="3"/>
      <c r="B488" s="4"/>
    </row>
    <row r="489" spans="1:2" ht="13" x14ac:dyDescent="0.15">
      <c r="A489" s="3"/>
      <c r="B489" s="4"/>
    </row>
    <row r="490" spans="1:2" ht="13" x14ac:dyDescent="0.15">
      <c r="A490" s="3"/>
      <c r="B490" s="4"/>
    </row>
    <row r="491" spans="1:2" ht="13" x14ac:dyDescent="0.15">
      <c r="A491" s="3"/>
      <c r="B491" s="4"/>
    </row>
    <row r="492" spans="1:2" ht="13" x14ac:dyDescent="0.15">
      <c r="A492" s="3"/>
      <c r="B492" s="4"/>
    </row>
    <row r="493" spans="1:2" ht="13" x14ac:dyDescent="0.15">
      <c r="A493" s="3"/>
      <c r="B493" s="4"/>
    </row>
    <row r="494" spans="1:2" ht="13" x14ac:dyDescent="0.15">
      <c r="A494" s="3"/>
      <c r="B494" s="4"/>
    </row>
    <row r="495" spans="1:2" ht="13" x14ac:dyDescent="0.15">
      <c r="A495" s="3"/>
      <c r="B495" s="4"/>
    </row>
    <row r="496" spans="1:2" ht="13" x14ac:dyDescent="0.15">
      <c r="A496" s="3"/>
      <c r="B496" s="4"/>
    </row>
    <row r="497" spans="1:2" ht="13" x14ac:dyDescent="0.15">
      <c r="A497" s="3"/>
      <c r="B497" s="4"/>
    </row>
    <row r="498" spans="1:2" ht="13" x14ac:dyDescent="0.15">
      <c r="A498" s="3"/>
      <c r="B498" s="4"/>
    </row>
    <row r="499" spans="1:2" ht="13" x14ac:dyDescent="0.15">
      <c r="A499" s="3"/>
      <c r="B499" s="4"/>
    </row>
    <row r="500" spans="1:2" ht="13" x14ac:dyDescent="0.15">
      <c r="A500" s="3"/>
      <c r="B500" s="4"/>
    </row>
    <row r="501" spans="1:2" ht="13" x14ac:dyDescent="0.15">
      <c r="A501" s="3"/>
      <c r="B501" s="4"/>
    </row>
    <row r="502" spans="1:2" ht="13" x14ac:dyDescent="0.15">
      <c r="A502" s="3"/>
      <c r="B502" s="4"/>
    </row>
    <row r="503" spans="1:2" ht="13" x14ac:dyDescent="0.15">
      <c r="A503" s="3"/>
      <c r="B503" s="4"/>
    </row>
    <row r="504" spans="1:2" ht="13" x14ac:dyDescent="0.15">
      <c r="A504" s="3"/>
      <c r="B504" s="4"/>
    </row>
    <row r="505" spans="1:2" ht="13" x14ac:dyDescent="0.15">
      <c r="A505" s="3"/>
      <c r="B505" s="4"/>
    </row>
    <row r="506" spans="1:2" ht="13" x14ac:dyDescent="0.15">
      <c r="A506" s="3"/>
      <c r="B506" s="4"/>
    </row>
    <row r="507" spans="1:2" ht="13" x14ac:dyDescent="0.15">
      <c r="A507" s="3"/>
      <c r="B507" s="4"/>
    </row>
    <row r="508" spans="1:2" ht="13" x14ac:dyDescent="0.15">
      <c r="A508" s="3"/>
      <c r="B508" s="4"/>
    </row>
    <row r="509" spans="1:2" ht="13" x14ac:dyDescent="0.15">
      <c r="A509" s="3"/>
      <c r="B509" s="4"/>
    </row>
    <row r="510" spans="1:2" ht="13" x14ac:dyDescent="0.15">
      <c r="A510" s="3"/>
      <c r="B510" s="4"/>
    </row>
    <row r="511" spans="1:2" ht="13" x14ac:dyDescent="0.15">
      <c r="A511" s="3"/>
      <c r="B511" s="4"/>
    </row>
    <row r="512" spans="1:2" ht="13" x14ac:dyDescent="0.15">
      <c r="A512" s="3"/>
      <c r="B512" s="4"/>
    </row>
    <row r="513" spans="1:2" ht="13" x14ac:dyDescent="0.15">
      <c r="A513" s="3"/>
      <c r="B513" s="4"/>
    </row>
    <row r="514" spans="1:2" ht="13" x14ac:dyDescent="0.15">
      <c r="A514" s="3"/>
      <c r="B514" s="4"/>
    </row>
    <row r="515" spans="1:2" ht="13" x14ac:dyDescent="0.15">
      <c r="A515" s="3"/>
      <c r="B515" s="4"/>
    </row>
    <row r="516" spans="1:2" ht="13" x14ac:dyDescent="0.15">
      <c r="A516" s="3"/>
      <c r="B516" s="4"/>
    </row>
    <row r="517" spans="1:2" ht="13" x14ac:dyDescent="0.15">
      <c r="A517" s="3"/>
      <c r="B517" s="4"/>
    </row>
    <row r="518" spans="1:2" ht="13" x14ac:dyDescent="0.15">
      <c r="A518" s="3"/>
      <c r="B518" s="4"/>
    </row>
    <row r="519" spans="1:2" ht="13" x14ac:dyDescent="0.15">
      <c r="A519" s="3"/>
      <c r="B519" s="4"/>
    </row>
    <row r="520" spans="1:2" ht="13" x14ac:dyDescent="0.15">
      <c r="A520" s="3"/>
      <c r="B520" s="4"/>
    </row>
    <row r="521" spans="1:2" ht="13" x14ac:dyDescent="0.15">
      <c r="A521" s="3"/>
      <c r="B521" s="4"/>
    </row>
    <row r="522" spans="1:2" ht="13" x14ac:dyDescent="0.15">
      <c r="A522" s="3"/>
      <c r="B522" s="4"/>
    </row>
    <row r="523" spans="1:2" ht="13" x14ac:dyDescent="0.15">
      <c r="A523" s="3"/>
      <c r="B523" s="4"/>
    </row>
    <row r="524" spans="1:2" ht="13" x14ac:dyDescent="0.15">
      <c r="A524" s="3"/>
      <c r="B524" s="4"/>
    </row>
    <row r="525" spans="1:2" ht="13" x14ac:dyDescent="0.15">
      <c r="A525" s="3"/>
      <c r="B525" s="4"/>
    </row>
    <row r="526" spans="1:2" ht="13" x14ac:dyDescent="0.15">
      <c r="A526" s="3"/>
      <c r="B526" s="4"/>
    </row>
    <row r="527" spans="1:2" ht="13" x14ac:dyDescent="0.15">
      <c r="A527" s="3"/>
      <c r="B527" s="4"/>
    </row>
    <row r="528" spans="1:2" ht="13" x14ac:dyDescent="0.15">
      <c r="A528" s="3"/>
      <c r="B528" s="4"/>
    </row>
    <row r="529" spans="1:2" ht="13" x14ac:dyDescent="0.15">
      <c r="A529" s="3"/>
      <c r="B529" s="4"/>
    </row>
    <row r="530" spans="1:2" ht="13" x14ac:dyDescent="0.15">
      <c r="A530" s="3"/>
      <c r="B530" s="4"/>
    </row>
    <row r="531" spans="1:2" ht="13" x14ac:dyDescent="0.15">
      <c r="A531" s="3"/>
      <c r="B531" s="4"/>
    </row>
    <row r="532" spans="1:2" ht="13" x14ac:dyDescent="0.15">
      <c r="A532" s="3"/>
      <c r="B532" s="4"/>
    </row>
    <row r="533" spans="1:2" ht="13" x14ac:dyDescent="0.15">
      <c r="A533" s="3"/>
      <c r="B533" s="4"/>
    </row>
    <row r="534" spans="1:2" ht="13" x14ac:dyDescent="0.15">
      <c r="A534" s="3"/>
      <c r="B534" s="4"/>
    </row>
    <row r="535" spans="1:2" ht="13" x14ac:dyDescent="0.15">
      <c r="A535" s="3"/>
      <c r="B535" s="4"/>
    </row>
    <row r="536" spans="1:2" ht="13" x14ac:dyDescent="0.15">
      <c r="A536" s="3"/>
      <c r="B536" s="4"/>
    </row>
    <row r="537" spans="1:2" ht="13" x14ac:dyDescent="0.15">
      <c r="A537" s="3"/>
      <c r="B537" s="4"/>
    </row>
    <row r="538" spans="1:2" ht="13" x14ac:dyDescent="0.15">
      <c r="A538" s="3"/>
      <c r="B538" s="4"/>
    </row>
    <row r="539" spans="1:2" ht="13" x14ac:dyDescent="0.15">
      <c r="A539" s="3"/>
      <c r="B539" s="4"/>
    </row>
    <row r="540" spans="1:2" ht="13" x14ac:dyDescent="0.15">
      <c r="A540" s="3"/>
      <c r="B540" s="4"/>
    </row>
    <row r="541" spans="1:2" ht="13" x14ac:dyDescent="0.15">
      <c r="A541" s="3"/>
      <c r="B541" s="4"/>
    </row>
    <row r="542" spans="1:2" ht="13" x14ac:dyDescent="0.15">
      <c r="A542" s="3"/>
      <c r="B542" s="4"/>
    </row>
    <row r="543" spans="1:2" ht="13" x14ac:dyDescent="0.15">
      <c r="A543" s="3"/>
      <c r="B543" s="4"/>
    </row>
    <row r="544" spans="1:2" ht="13" x14ac:dyDescent="0.15">
      <c r="A544" s="3"/>
      <c r="B544" s="4"/>
    </row>
    <row r="545" spans="1:2" ht="13" x14ac:dyDescent="0.15">
      <c r="A545" s="3"/>
      <c r="B545" s="4"/>
    </row>
    <row r="546" spans="1:2" ht="13" x14ac:dyDescent="0.15">
      <c r="A546" s="3"/>
      <c r="B546" s="4"/>
    </row>
    <row r="547" spans="1:2" ht="13" x14ac:dyDescent="0.15">
      <c r="A547" s="3"/>
      <c r="B547" s="4"/>
    </row>
    <row r="548" spans="1:2" ht="13" x14ac:dyDescent="0.15">
      <c r="A548" s="3"/>
      <c r="B548" s="4"/>
    </row>
    <row r="549" spans="1:2" ht="13" x14ac:dyDescent="0.15">
      <c r="A549" s="3"/>
      <c r="B549" s="4"/>
    </row>
    <row r="550" spans="1:2" ht="13" x14ac:dyDescent="0.15">
      <c r="A550" s="3"/>
      <c r="B550" s="4"/>
    </row>
    <row r="551" spans="1:2" ht="13" x14ac:dyDescent="0.15">
      <c r="A551" s="3"/>
      <c r="B551" s="4"/>
    </row>
    <row r="552" spans="1:2" ht="13" x14ac:dyDescent="0.15">
      <c r="A552" s="3"/>
      <c r="B552" s="4"/>
    </row>
    <row r="553" spans="1:2" ht="13" x14ac:dyDescent="0.15">
      <c r="A553" s="3"/>
      <c r="B553" s="4"/>
    </row>
    <row r="554" spans="1:2" ht="13" x14ac:dyDescent="0.15">
      <c r="A554" s="3"/>
      <c r="B554" s="4"/>
    </row>
    <row r="555" spans="1:2" ht="13" x14ac:dyDescent="0.15">
      <c r="A555" s="3"/>
      <c r="B555" s="4"/>
    </row>
    <row r="556" spans="1:2" ht="13" x14ac:dyDescent="0.15">
      <c r="A556" s="3"/>
      <c r="B556" s="4"/>
    </row>
    <row r="557" spans="1:2" ht="13" x14ac:dyDescent="0.15">
      <c r="A557" s="3"/>
      <c r="B557" s="4"/>
    </row>
    <row r="558" spans="1:2" ht="13" x14ac:dyDescent="0.15">
      <c r="A558" s="3"/>
      <c r="B558" s="4"/>
    </row>
    <row r="559" spans="1:2" ht="13" x14ac:dyDescent="0.15">
      <c r="A559" s="3"/>
      <c r="B559" s="4"/>
    </row>
    <row r="560" spans="1:2" ht="13" x14ac:dyDescent="0.15">
      <c r="A560" s="3"/>
      <c r="B560" s="4"/>
    </row>
    <row r="561" spans="1:2" ht="13" x14ac:dyDescent="0.15">
      <c r="A561" s="3"/>
      <c r="B561" s="4"/>
    </row>
    <row r="562" spans="1:2" ht="13" x14ac:dyDescent="0.15">
      <c r="A562" s="3"/>
      <c r="B562" s="4"/>
    </row>
    <row r="563" spans="1:2" ht="13" x14ac:dyDescent="0.15">
      <c r="A563" s="3"/>
      <c r="B563" s="4"/>
    </row>
    <row r="564" spans="1:2" ht="13" x14ac:dyDescent="0.15">
      <c r="A564" s="3"/>
      <c r="B564" s="4"/>
    </row>
    <row r="565" spans="1:2" ht="13" x14ac:dyDescent="0.15">
      <c r="A565" s="3"/>
      <c r="B565" s="4"/>
    </row>
    <row r="566" spans="1:2" ht="13" x14ac:dyDescent="0.15">
      <c r="A566" s="3"/>
      <c r="B566" s="4"/>
    </row>
    <row r="567" spans="1:2" ht="13" x14ac:dyDescent="0.15">
      <c r="A567" s="3"/>
      <c r="B567" s="4"/>
    </row>
    <row r="568" spans="1:2" ht="13" x14ac:dyDescent="0.15">
      <c r="A568" s="3"/>
      <c r="B568" s="4"/>
    </row>
    <row r="569" spans="1:2" ht="13" x14ac:dyDescent="0.15">
      <c r="A569" s="3"/>
      <c r="B569" s="4"/>
    </row>
    <row r="570" spans="1:2" ht="13" x14ac:dyDescent="0.15">
      <c r="A570" s="3"/>
      <c r="B570" s="4"/>
    </row>
    <row r="571" spans="1:2" ht="13" x14ac:dyDescent="0.15">
      <c r="A571" s="3"/>
      <c r="B571" s="4"/>
    </row>
    <row r="572" spans="1:2" ht="13" x14ac:dyDescent="0.15">
      <c r="A572" s="3"/>
      <c r="B572" s="4"/>
    </row>
    <row r="573" spans="1:2" ht="13" x14ac:dyDescent="0.15">
      <c r="A573" s="3"/>
      <c r="B573" s="4"/>
    </row>
    <row r="574" spans="1:2" ht="13" x14ac:dyDescent="0.15">
      <c r="A574" s="3"/>
      <c r="B574" s="4"/>
    </row>
    <row r="575" spans="1:2" ht="13" x14ac:dyDescent="0.15">
      <c r="A575" s="3"/>
      <c r="B575" s="4"/>
    </row>
    <row r="576" spans="1:2" ht="13" x14ac:dyDescent="0.15">
      <c r="A576" s="3"/>
      <c r="B576" s="4"/>
    </row>
    <row r="577" spans="1:2" ht="13" x14ac:dyDescent="0.15">
      <c r="A577" s="3"/>
      <c r="B577" s="4"/>
    </row>
    <row r="578" spans="1:2" ht="13" x14ac:dyDescent="0.15">
      <c r="A578" s="3"/>
      <c r="B578" s="4"/>
    </row>
    <row r="579" spans="1:2" ht="13" x14ac:dyDescent="0.15">
      <c r="A579" s="3"/>
      <c r="B579" s="4"/>
    </row>
    <row r="580" spans="1:2" ht="13" x14ac:dyDescent="0.15">
      <c r="A580" s="3"/>
      <c r="B580" s="4"/>
    </row>
    <row r="581" spans="1:2" ht="13" x14ac:dyDescent="0.15">
      <c r="A581" s="3"/>
      <c r="B581" s="4"/>
    </row>
    <row r="582" spans="1:2" ht="13" x14ac:dyDescent="0.15">
      <c r="A582" s="3"/>
      <c r="B582" s="4"/>
    </row>
    <row r="583" spans="1:2" ht="13" x14ac:dyDescent="0.15">
      <c r="A583" s="3"/>
      <c r="B583" s="4"/>
    </row>
    <row r="584" spans="1:2" ht="13" x14ac:dyDescent="0.15">
      <c r="A584" s="3"/>
      <c r="B584" s="4"/>
    </row>
    <row r="585" spans="1:2" ht="13" x14ac:dyDescent="0.15">
      <c r="A585" s="3"/>
      <c r="B585" s="4"/>
    </row>
    <row r="586" spans="1:2" ht="13" x14ac:dyDescent="0.15">
      <c r="A586" s="3"/>
      <c r="B586" s="4"/>
    </row>
    <row r="587" spans="1:2" ht="13" x14ac:dyDescent="0.15">
      <c r="A587" s="3"/>
      <c r="B587" s="4"/>
    </row>
    <row r="588" spans="1:2" ht="13" x14ac:dyDescent="0.15">
      <c r="A588" s="3"/>
      <c r="B588" s="4"/>
    </row>
    <row r="589" spans="1:2" ht="13" x14ac:dyDescent="0.15">
      <c r="A589" s="3"/>
      <c r="B589" s="4"/>
    </row>
    <row r="590" spans="1:2" ht="13" x14ac:dyDescent="0.15">
      <c r="A590" s="3"/>
      <c r="B590" s="4"/>
    </row>
    <row r="591" spans="1:2" ht="13" x14ac:dyDescent="0.15">
      <c r="A591" s="3"/>
      <c r="B591" s="4"/>
    </row>
    <row r="592" spans="1:2" ht="13" x14ac:dyDescent="0.15">
      <c r="A592" s="3"/>
      <c r="B592" s="4"/>
    </row>
    <row r="593" spans="1:2" ht="13" x14ac:dyDescent="0.15">
      <c r="A593" s="3"/>
      <c r="B593" s="4"/>
    </row>
    <row r="594" spans="1:2" ht="13" x14ac:dyDescent="0.15">
      <c r="A594" s="3"/>
      <c r="B594" s="4"/>
    </row>
    <row r="595" spans="1:2" ht="13" x14ac:dyDescent="0.15">
      <c r="A595" s="3"/>
      <c r="B595" s="4"/>
    </row>
    <row r="596" spans="1:2" ht="13" x14ac:dyDescent="0.15">
      <c r="A596" s="3"/>
      <c r="B596" s="4"/>
    </row>
    <row r="597" spans="1:2" ht="13" x14ac:dyDescent="0.15">
      <c r="A597" s="3"/>
      <c r="B597" s="4"/>
    </row>
    <row r="598" spans="1:2" ht="13" x14ac:dyDescent="0.15">
      <c r="A598" s="3"/>
      <c r="B598" s="4"/>
    </row>
    <row r="599" spans="1:2" ht="13" x14ac:dyDescent="0.15">
      <c r="A599" s="3"/>
      <c r="B599" s="4"/>
    </row>
    <row r="600" spans="1:2" ht="13" x14ac:dyDescent="0.15">
      <c r="A600" s="3"/>
      <c r="B600" s="4"/>
    </row>
    <row r="601" spans="1:2" ht="13" x14ac:dyDescent="0.15">
      <c r="A601" s="3"/>
      <c r="B601" s="4"/>
    </row>
    <row r="602" spans="1:2" ht="13" x14ac:dyDescent="0.15">
      <c r="A602" s="3"/>
      <c r="B602" s="4"/>
    </row>
    <row r="603" spans="1:2" ht="13" x14ac:dyDescent="0.15">
      <c r="A603" s="3"/>
      <c r="B603" s="4"/>
    </row>
    <row r="604" spans="1:2" ht="13" x14ac:dyDescent="0.15">
      <c r="A604" s="3"/>
      <c r="B604" s="4"/>
    </row>
    <row r="605" spans="1:2" ht="13" x14ac:dyDescent="0.15">
      <c r="A605" s="3"/>
      <c r="B605" s="4"/>
    </row>
    <row r="606" spans="1:2" ht="13" x14ac:dyDescent="0.15">
      <c r="A606" s="3"/>
      <c r="B606" s="4"/>
    </row>
    <row r="607" spans="1:2" ht="13" x14ac:dyDescent="0.15">
      <c r="A607" s="3"/>
      <c r="B607" s="4"/>
    </row>
    <row r="608" spans="1:2" ht="13" x14ac:dyDescent="0.15">
      <c r="A608" s="3"/>
      <c r="B608" s="4"/>
    </row>
    <row r="609" spans="1:2" ht="13" x14ac:dyDescent="0.15">
      <c r="A609" s="3"/>
      <c r="B609" s="4"/>
    </row>
    <row r="610" spans="1:2" ht="13" x14ac:dyDescent="0.15">
      <c r="A610" s="3"/>
      <c r="B610" s="4"/>
    </row>
    <row r="611" spans="1:2" ht="13" x14ac:dyDescent="0.15">
      <c r="A611" s="3"/>
      <c r="B611" s="4"/>
    </row>
    <row r="612" spans="1:2" ht="13" x14ac:dyDescent="0.15">
      <c r="A612" s="3"/>
      <c r="B612" s="4"/>
    </row>
    <row r="613" spans="1:2" ht="13" x14ac:dyDescent="0.15">
      <c r="A613" s="3"/>
      <c r="B613" s="4"/>
    </row>
    <row r="614" spans="1:2" ht="13" x14ac:dyDescent="0.15">
      <c r="A614" s="3"/>
      <c r="B614" s="4"/>
    </row>
    <row r="615" spans="1:2" ht="13" x14ac:dyDescent="0.15">
      <c r="A615" s="3"/>
      <c r="B615" s="4"/>
    </row>
    <row r="616" spans="1:2" ht="13" x14ac:dyDescent="0.15">
      <c r="A616" s="3"/>
      <c r="B616" s="4"/>
    </row>
    <row r="617" spans="1:2" ht="13" x14ac:dyDescent="0.15">
      <c r="A617" s="3"/>
      <c r="B617" s="4"/>
    </row>
    <row r="618" spans="1:2" ht="13" x14ac:dyDescent="0.15">
      <c r="A618" s="3"/>
      <c r="B618" s="4"/>
    </row>
    <row r="619" spans="1:2" ht="13" x14ac:dyDescent="0.15">
      <c r="A619" s="3"/>
      <c r="B619" s="4"/>
    </row>
    <row r="620" spans="1:2" ht="13" x14ac:dyDescent="0.15">
      <c r="A620" s="3"/>
      <c r="B620" s="4"/>
    </row>
    <row r="621" spans="1:2" ht="13" x14ac:dyDescent="0.15">
      <c r="A621" s="3"/>
      <c r="B621" s="4"/>
    </row>
    <row r="622" spans="1:2" ht="13" x14ac:dyDescent="0.15">
      <c r="A622" s="3"/>
      <c r="B622" s="4"/>
    </row>
    <row r="623" spans="1:2" ht="13" x14ac:dyDescent="0.15">
      <c r="A623" s="3"/>
      <c r="B623" s="4"/>
    </row>
    <row r="624" spans="1:2" ht="13" x14ac:dyDescent="0.15">
      <c r="A624" s="3"/>
      <c r="B624" s="4"/>
    </row>
    <row r="625" spans="1:2" ht="13" x14ac:dyDescent="0.15">
      <c r="A625" s="3"/>
      <c r="B625" s="4"/>
    </row>
    <row r="626" spans="1:2" ht="13" x14ac:dyDescent="0.15">
      <c r="A626" s="3"/>
      <c r="B626" s="4"/>
    </row>
    <row r="627" spans="1:2" ht="13" x14ac:dyDescent="0.15">
      <c r="A627" s="3"/>
      <c r="B627" s="4"/>
    </row>
    <row r="628" spans="1:2" ht="13" x14ac:dyDescent="0.15">
      <c r="A628" s="3"/>
      <c r="B628" s="4"/>
    </row>
    <row r="629" spans="1:2" ht="13" x14ac:dyDescent="0.15">
      <c r="A629" s="3"/>
      <c r="B629" s="4"/>
    </row>
    <row r="630" spans="1:2" ht="13" x14ac:dyDescent="0.15">
      <c r="A630" s="3"/>
      <c r="B630" s="4"/>
    </row>
    <row r="631" spans="1:2" ht="13" x14ac:dyDescent="0.15">
      <c r="A631" s="3"/>
      <c r="B631" s="4"/>
    </row>
    <row r="632" spans="1:2" ht="13" x14ac:dyDescent="0.15">
      <c r="A632" s="3"/>
      <c r="B632" s="4"/>
    </row>
    <row r="633" spans="1:2" ht="13" x14ac:dyDescent="0.15">
      <c r="A633" s="3"/>
      <c r="B633" s="4"/>
    </row>
    <row r="634" spans="1:2" ht="13" x14ac:dyDescent="0.15">
      <c r="A634" s="3"/>
      <c r="B634" s="4"/>
    </row>
    <row r="635" spans="1:2" ht="13" x14ac:dyDescent="0.15">
      <c r="A635" s="3"/>
      <c r="B635" s="4"/>
    </row>
    <row r="636" spans="1:2" ht="13" x14ac:dyDescent="0.15">
      <c r="A636" s="3"/>
      <c r="B636" s="4"/>
    </row>
    <row r="637" spans="1:2" ht="13" x14ac:dyDescent="0.15">
      <c r="A637" s="3"/>
      <c r="B637" s="4"/>
    </row>
    <row r="638" spans="1:2" ht="13" x14ac:dyDescent="0.15">
      <c r="A638" s="3"/>
      <c r="B638" s="4"/>
    </row>
    <row r="639" spans="1:2" ht="13" x14ac:dyDescent="0.15">
      <c r="A639" s="3"/>
      <c r="B639" s="4"/>
    </row>
    <row r="640" spans="1:2" ht="13" x14ac:dyDescent="0.15">
      <c r="A640" s="3"/>
      <c r="B640" s="4"/>
    </row>
    <row r="641" spans="1:2" ht="13" x14ac:dyDescent="0.15">
      <c r="A641" s="3"/>
      <c r="B641" s="4"/>
    </row>
    <row r="642" spans="1:2" ht="13" x14ac:dyDescent="0.15">
      <c r="A642" s="3"/>
      <c r="B642" s="4"/>
    </row>
    <row r="643" spans="1:2" ht="13" x14ac:dyDescent="0.15">
      <c r="A643" s="3"/>
      <c r="B643" s="4"/>
    </row>
    <row r="644" spans="1:2" ht="13" x14ac:dyDescent="0.15">
      <c r="A644" s="3"/>
      <c r="B644" s="4"/>
    </row>
    <row r="645" spans="1:2" ht="13" x14ac:dyDescent="0.15">
      <c r="A645" s="3"/>
      <c r="B645" s="4"/>
    </row>
    <row r="646" spans="1:2" ht="13" x14ac:dyDescent="0.15">
      <c r="A646" s="3"/>
      <c r="B646" s="4"/>
    </row>
    <row r="647" spans="1:2" ht="13" x14ac:dyDescent="0.15">
      <c r="A647" s="3"/>
      <c r="B647" s="4"/>
    </row>
    <row r="648" spans="1:2" ht="13" x14ac:dyDescent="0.15">
      <c r="A648" s="3"/>
      <c r="B648" s="4"/>
    </row>
    <row r="649" spans="1:2" ht="13" x14ac:dyDescent="0.15">
      <c r="A649" s="3"/>
      <c r="B649" s="4"/>
    </row>
    <row r="650" spans="1:2" ht="13" x14ac:dyDescent="0.15">
      <c r="A650" s="3"/>
      <c r="B650" s="4"/>
    </row>
    <row r="651" spans="1:2" ht="13" x14ac:dyDescent="0.15">
      <c r="A651" s="3"/>
      <c r="B651" s="4"/>
    </row>
    <row r="652" spans="1:2" ht="13" x14ac:dyDescent="0.15">
      <c r="A652" s="3"/>
      <c r="B652" s="4"/>
    </row>
    <row r="653" spans="1:2" ht="13" x14ac:dyDescent="0.15">
      <c r="A653" s="3"/>
      <c r="B653" s="4"/>
    </row>
    <row r="654" spans="1:2" ht="13" x14ac:dyDescent="0.15">
      <c r="A654" s="3"/>
      <c r="B654" s="4"/>
    </row>
    <row r="655" spans="1:2" ht="13" x14ac:dyDescent="0.15">
      <c r="A655" s="3"/>
      <c r="B655" s="4"/>
    </row>
    <row r="656" spans="1:2" ht="13" x14ac:dyDescent="0.15">
      <c r="A656" s="3"/>
      <c r="B656" s="4"/>
    </row>
    <row r="657" spans="1:2" ht="13" x14ac:dyDescent="0.15">
      <c r="A657" s="3"/>
      <c r="B657" s="4"/>
    </row>
    <row r="658" spans="1:2" ht="13" x14ac:dyDescent="0.15">
      <c r="A658" s="3"/>
      <c r="B658" s="4"/>
    </row>
    <row r="659" spans="1:2" ht="13" x14ac:dyDescent="0.15">
      <c r="A659" s="3"/>
      <c r="B659" s="4"/>
    </row>
    <row r="660" spans="1:2" ht="13" x14ac:dyDescent="0.15">
      <c r="A660" s="3"/>
      <c r="B660" s="4"/>
    </row>
    <row r="661" spans="1:2" ht="13" x14ac:dyDescent="0.15">
      <c r="A661" s="3"/>
      <c r="B661" s="4"/>
    </row>
    <row r="662" spans="1:2" ht="13" x14ac:dyDescent="0.15">
      <c r="A662" s="3"/>
      <c r="B662" s="4"/>
    </row>
    <row r="663" spans="1:2" ht="13" x14ac:dyDescent="0.15">
      <c r="A663" s="3"/>
      <c r="B663" s="4"/>
    </row>
    <row r="664" spans="1:2" ht="13" x14ac:dyDescent="0.15">
      <c r="A664" s="3"/>
      <c r="B664" s="4"/>
    </row>
    <row r="665" spans="1:2" ht="13" x14ac:dyDescent="0.15">
      <c r="A665" s="3"/>
      <c r="B665" s="4"/>
    </row>
    <row r="666" spans="1:2" ht="13" x14ac:dyDescent="0.15">
      <c r="A666" s="3"/>
      <c r="B666" s="4"/>
    </row>
    <row r="667" spans="1:2" ht="13" x14ac:dyDescent="0.15">
      <c r="A667" s="3"/>
      <c r="B667" s="4"/>
    </row>
    <row r="668" spans="1:2" ht="13" x14ac:dyDescent="0.15">
      <c r="A668" s="3"/>
      <c r="B668" s="4"/>
    </row>
    <row r="669" spans="1:2" ht="13" x14ac:dyDescent="0.15">
      <c r="A669" s="3"/>
      <c r="B669" s="4"/>
    </row>
    <row r="670" spans="1:2" ht="13" x14ac:dyDescent="0.15">
      <c r="A670" s="3"/>
      <c r="B670" s="4"/>
    </row>
    <row r="671" spans="1:2" ht="13" x14ac:dyDescent="0.15">
      <c r="A671" s="3"/>
      <c r="B671" s="4"/>
    </row>
    <row r="672" spans="1:2" ht="13" x14ac:dyDescent="0.15">
      <c r="A672" s="3"/>
      <c r="B672" s="4"/>
    </row>
    <row r="673" spans="1:2" ht="13" x14ac:dyDescent="0.15">
      <c r="A673" s="3"/>
      <c r="B673" s="4"/>
    </row>
    <row r="674" spans="1:2" ht="13" x14ac:dyDescent="0.15">
      <c r="A674" s="3"/>
      <c r="B674" s="4"/>
    </row>
    <row r="675" spans="1:2" ht="13" x14ac:dyDescent="0.15">
      <c r="A675" s="3"/>
      <c r="B675" s="4"/>
    </row>
    <row r="676" spans="1:2" ht="13" x14ac:dyDescent="0.15">
      <c r="A676" s="3"/>
      <c r="B676" s="4"/>
    </row>
    <row r="677" spans="1:2" ht="13" x14ac:dyDescent="0.15">
      <c r="A677" s="3"/>
      <c r="B677" s="4"/>
    </row>
    <row r="678" spans="1:2" ht="13" x14ac:dyDescent="0.15">
      <c r="A678" s="3"/>
      <c r="B678" s="4"/>
    </row>
    <row r="679" spans="1:2" ht="13" x14ac:dyDescent="0.15">
      <c r="A679" s="3"/>
      <c r="B679" s="4"/>
    </row>
    <row r="680" spans="1:2" ht="13" x14ac:dyDescent="0.15">
      <c r="A680" s="3"/>
      <c r="B680" s="4"/>
    </row>
    <row r="681" spans="1:2" ht="13" x14ac:dyDescent="0.15">
      <c r="A681" s="3"/>
      <c r="B681" s="4"/>
    </row>
    <row r="682" spans="1:2" ht="13" x14ac:dyDescent="0.15">
      <c r="A682" s="3"/>
      <c r="B682" s="4"/>
    </row>
    <row r="683" spans="1:2" ht="13" x14ac:dyDescent="0.15">
      <c r="A683" s="3"/>
      <c r="B683" s="4"/>
    </row>
    <row r="684" spans="1:2" ht="13" x14ac:dyDescent="0.15">
      <c r="A684" s="3"/>
      <c r="B684" s="4"/>
    </row>
    <row r="685" spans="1:2" ht="13" x14ac:dyDescent="0.15">
      <c r="A685" s="3"/>
      <c r="B685" s="4"/>
    </row>
    <row r="686" spans="1:2" ht="13" x14ac:dyDescent="0.15">
      <c r="A686" s="3"/>
      <c r="B686" s="4"/>
    </row>
    <row r="687" spans="1:2" ht="13" x14ac:dyDescent="0.15">
      <c r="A687" s="3"/>
      <c r="B687" s="4"/>
    </row>
    <row r="688" spans="1:2" ht="13" x14ac:dyDescent="0.15">
      <c r="A688" s="3"/>
      <c r="B688" s="4"/>
    </row>
    <row r="689" spans="1:2" ht="13" x14ac:dyDescent="0.15">
      <c r="A689" s="3"/>
      <c r="B689" s="4"/>
    </row>
    <row r="690" spans="1:2" ht="13" x14ac:dyDescent="0.15">
      <c r="A690" s="3"/>
      <c r="B690" s="4"/>
    </row>
    <row r="691" spans="1:2" ht="13" x14ac:dyDescent="0.15">
      <c r="A691" s="3"/>
      <c r="B691" s="4"/>
    </row>
    <row r="692" spans="1:2" ht="13" x14ac:dyDescent="0.15">
      <c r="A692" s="3"/>
      <c r="B692" s="4"/>
    </row>
    <row r="693" spans="1:2" ht="13" x14ac:dyDescent="0.15">
      <c r="A693" s="3"/>
      <c r="B693" s="4"/>
    </row>
    <row r="694" spans="1:2" ht="13" x14ac:dyDescent="0.15">
      <c r="A694" s="3"/>
      <c r="B694" s="4"/>
    </row>
    <row r="695" spans="1:2" ht="13" x14ac:dyDescent="0.15">
      <c r="A695" s="3"/>
      <c r="B695" s="4"/>
    </row>
    <row r="696" spans="1:2" ht="13" x14ac:dyDescent="0.15">
      <c r="A696" s="3"/>
      <c r="B696" s="4"/>
    </row>
    <row r="697" spans="1:2" ht="13" x14ac:dyDescent="0.15">
      <c r="A697" s="3"/>
      <c r="B697" s="4"/>
    </row>
    <row r="698" spans="1:2" ht="13" x14ac:dyDescent="0.15">
      <c r="A698" s="3"/>
      <c r="B698" s="4"/>
    </row>
    <row r="699" spans="1:2" ht="13" x14ac:dyDescent="0.15">
      <c r="A699" s="3"/>
      <c r="B699" s="4"/>
    </row>
    <row r="700" spans="1:2" ht="13" x14ac:dyDescent="0.15">
      <c r="A700" s="3"/>
      <c r="B700" s="4"/>
    </row>
    <row r="701" spans="1:2" ht="13" x14ac:dyDescent="0.15">
      <c r="A701" s="3"/>
      <c r="B701" s="4"/>
    </row>
    <row r="702" spans="1:2" ht="13" x14ac:dyDescent="0.15">
      <c r="A702" s="3"/>
      <c r="B702" s="4"/>
    </row>
    <row r="703" spans="1:2" ht="13" x14ac:dyDescent="0.15">
      <c r="A703" s="3"/>
      <c r="B703" s="4"/>
    </row>
    <row r="704" spans="1:2" ht="13" x14ac:dyDescent="0.15">
      <c r="A704" s="3"/>
      <c r="B704" s="4"/>
    </row>
    <row r="705" spans="1:2" ht="13" x14ac:dyDescent="0.15">
      <c r="A705" s="3"/>
      <c r="B705" s="4"/>
    </row>
    <row r="706" spans="1:2" ht="13" x14ac:dyDescent="0.15">
      <c r="A706" s="3"/>
      <c r="B706" s="4"/>
    </row>
    <row r="707" spans="1:2" ht="13" x14ac:dyDescent="0.15">
      <c r="A707" s="3"/>
      <c r="B707" s="4"/>
    </row>
    <row r="708" spans="1:2" ht="13" x14ac:dyDescent="0.15">
      <c r="A708" s="3"/>
      <c r="B708" s="4"/>
    </row>
    <row r="709" spans="1:2" ht="13" x14ac:dyDescent="0.15">
      <c r="A709" s="3"/>
      <c r="B709" s="4"/>
    </row>
    <row r="710" spans="1:2" ht="13" x14ac:dyDescent="0.15">
      <c r="A710" s="3"/>
      <c r="B710" s="4"/>
    </row>
    <row r="711" spans="1:2" ht="13" x14ac:dyDescent="0.15">
      <c r="A711" s="3"/>
      <c r="B711" s="4"/>
    </row>
    <row r="712" spans="1:2" ht="13" x14ac:dyDescent="0.15">
      <c r="A712" s="3"/>
      <c r="B712" s="4"/>
    </row>
    <row r="713" spans="1:2" ht="13" x14ac:dyDescent="0.15">
      <c r="A713" s="3"/>
      <c r="B713" s="4"/>
    </row>
    <row r="714" spans="1:2" ht="13" x14ac:dyDescent="0.15">
      <c r="A714" s="3"/>
      <c r="B714" s="4"/>
    </row>
    <row r="715" spans="1:2" ht="13" x14ac:dyDescent="0.15">
      <c r="A715" s="3"/>
      <c r="B715" s="4"/>
    </row>
    <row r="716" spans="1:2" ht="13" x14ac:dyDescent="0.15">
      <c r="A716" s="3"/>
      <c r="B716" s="4"/>
    </row>
    <row r="717" spans="1:2" ht="13" x14ac:dyDescent="0.15">
      <c r="A717" s="3"/>
      <c r="B717" s="4"/>
    </row>
    <row r="718" spans="1:2" ht="13" x14ac:dyDescent="0.15">
      <c r="A718" s="3"/>
      <c r="B718" s="4"/>
    </row>
    <row r="719" spans="1:2" ht="13" x14ac:dyDescent="0.15">
      <c r="A719" s="3"/>
      <c r="B719" s="4"/>
    </row>
    <row r="720" spans="1:2" ht="13" x14ac:dyDescent="0.15">
      <c r="A720" s="3"/>
      <c r="B720" s="4"/>
    </row>
    <row r="721" spans="1:2" ht="13" x14ac:dyDescent="0.15">
      <c r="A721" s="3"/>
      <c r="B721" s="4"/>
    </row>
    <row r="722" spans="1:2" ht="13" x14ac:dyDescent="0.15">
      <c r="A722" s="3"/>
      <c r="B722" s="4"/>
    </row>
    <row r="723" spans="1:2" ht="13" x14ac:dyDescent="0.15">
      <c r="A723" s="3"/>
      <c r="B723" s="4"/>
    </row>
    <row r="724" spans="1:2" ht="13" x14ac:dyDescent="0.15">
      <c r="A724" s="3"/>
      <c r="B724" s="4"/>
    </row>
    <row r="725" spans="1:2" ht="13" x14ac:dyDescent="0.15">
      <c r="A725" s="3"/>
      <c r="B725" s="4"/>
    </row>
    <row r="726" spans="1:2" ht="13" x14ac:dyDescent="0.15">
      <c r="A726" s="3"/>
      <c r="B726" s="4"/>
    </row>
    <row r="727" spans="1:2" ht="13" x14ac:dyDescent="0.15">
      <c r="A727" s="3"/>
      <c r="B727" s="4"/>
    </row>
    <row r="728" spans="1:2" ht="13" x14ac:dyDescent="0.15">
      <c r="A728" s="3"/>
      <c r="B728" s="4"/>
    </row>
    <row r="729" spans="1:2" ht="13" x14ac:dyDescent="0.15">
      <c r="A729" s="3"/>
      <c r="B729" s="4"/>
    </row>
    <row r="730" spans="1:2" ht="13" x14ac:dyDescent="0.15">
      <c r="A730" s="3"/>
      <c r="B730" s="4"/>
    </row>
    <row r="731" spans="1:2" ht="13" x14ac:dyDescent="0.15">
      <c r="A731" s="3"/>
      <c r="B731" s="4"/>
    </row>
    <row r="732" spans="1:2" ht="13" x14ac:dyDescent="0.15">
      <c r="A732" s="3"/>
      <c r="B732" s="4"/>
    </row>
    <row r="733" spans="1:2" ht="13" x14ac:dyDescent="0.15">
      <c r="A733" s="3"/>
      <c r="B733" s="4"/>
    </row>
    <row r="734" spans="1:2" ht="13" x14ac:dyDescent="0.15">
      <c r="A734" s="3"/>
      <c r="B734" s="4"/>
    </row>
    <row r="735" spans="1:2" ht="13" x14ac:dyDescent="0.15">
      <c r="A735" s="3"/>
      <c r="B735" s="4"/>
    </row>
    <row r="736" spans="1:2" ht="13" x14ac:dyDescent="0.15">
      <c r="A736" s="3"/>
      <c r="B736" s="4"/>
    </row>
    <row r="737" spans="1:2" ht="13" x14ac:dyDescent="0.15">
      <c r="A737" s="3"/>
      <c r="B737" s="4"/>
    </row>
    <row r="738" spans="1:2" ht="13" x14ac:dyDescent="0.15">
      <c r="A738" s="3"/>
      <c r="B738" s="4"/>
    </row>
    <row r="739" spans="1:2" ht="13" x14ac:dyDescent="0.15">
      <c r="A739" s="3"/>
      <c r="B739" s="4"/>
    </row>
    <row r="740" spans="1:2" ht="13" x14ac:dyDescent="0.15">
      <c r="A740" s="3"/>
      <c r="B740" s="4"/>
    </row>
    <row r="741" spans="1:2" ht="13" x14ac:dyDescent="0.15">
      <c r="A741" s="3"/>
      <c r="B741" s="4"/>
    </row>
    <row r="742" spans="1:2" ht="13" x14ac:dyDescent="0.15">
      <c r="A742" s="3"/>
      <c r="B742" s="4"/>
    </row>
    <row r="743" spans="1:2" ht="13" x14ac:dyDescent="0.15">
      <c r="A743" s="3"/>
      <c r="B743" s="4"/>
    </row>
    <row r="744" spans="1:2" ht="13" x14ac:dyDescent="0.15">
      <c r="A744" s="3"/>
      <c r="B744" s="4"/>
    </row>
    <row r="745" spans="1:2" ht="13" x14ac:dyDescent="0.15">
      <c r="A745" s="3"/>
      <c r="B745" s="4"/>
    </row>
    <row r="746" spans="1:2" ht="13" x14ac:dyDescent="0.15">
      <c r="A746" s="3"/>
      <c r="B746" s="4"/>
    </row>
    <row r="747" spans="1:2" ht="13" x14ac:dyDescent="0.15">
      <c r="A747" s="3"/>
      <c r="B747" s="4"/>
    </row>
    <row r="748" spans="1:2" ht="13" x14ac:dyDescent="0.15">
      <c r="A748" s="3"/>
      <c r="B748" s="4"/>
    </row>
    <row r="749" spans="1:2" ht="13" x14ac:dyDescent="0.15">
      <c r="A749" s="3"/>
      <c r="B749" s="4"/>
    </row>
    <row r="750" spans="1:2" ht="13" x14ac:dyDescent="0.15">
      <c r="A750" s="3"/>
      <c r="B750" s="4"/>
    </row>
    <row r="751" spans="1:2" ht="13" x14ac:dyDescent="0.15">
      <c r="A751" s="3"/>
      <c r="B751" s="4"/>
    </row>
    <row r="752" spans="1:2" ht="13" x14ac:dyDescent="0.15">
      <c r="A752" s="3"/>
      <c r="B752" s="4"/>
    </row>
    <row r="753" spans="1:2" ht="13" x14ac:dyDescent="0.15">
      <c r="A753" s="3"/>
      <c r="B753" s="4"/>
    </row>
    <row r="754" spans="1:2" ht="13" x14ac:dyDescent="0.15">
      <c r="A754" s="3"/>
      <c r="B754" s="4"/>
    </row>
    <row r="755" spans="1:2" ht="13" x14ac:dyDescent="0.15">
      <c r="A755" s="3"/>
      <c r="B755" s="4"/>
    </row>
    <row r="756" spans="1:2" ht="13" x14ac:dyDescent="0.15">
      <c r="A756" s="3"/>
      <c r="B756" s="4"/>
    </row>
    <row r="757" spans="1:2" ht="13" x14ac:dyDescent="0.15">
      <c r="A757" s="3"/>
      <c r="B757" s="4"/>
    </row>
    <row r="758" spans="1:2" ht="13" x14ac:dyDescent="0.15">
      <c r="A758" s="3"/>
      <c r="B758" s="4"/>
    </row>
    <row r="759" spans="1:2" ht="13" x14ac:dyDescent="0.15">
      <c r="A759" s="3"/>
      <c r="B759" s="4"/>
    </row>
    <row r="760" spans="1:2" ht="13" x14ac:dyDescent="0.15">
      <c r="A760" s="3"/>
      <c r="B760" s="4"/>
    </row>
    <row r="761" spans="1:2" ht="13" x14ac:dyDescent="0.15">
      <c r="A761" s="3"/>
      <c r="B761" s="4"/>
    </row>
    <row r="762" spans="1:2" ht="13" x14ac:dyDescent="0.15">
      <c r="A762" s="3"/>
      <c r="B762" s="4"/>
    </row>
    <row r="763" spans="1:2" ht="13" x14ac:dyDescent="0.15">
      <c r="A763" s="3"/>
      <c r="B763" s="4"/>
    </row>
    <row r="764" spans="1:2" ht="13" x14ac:dyDescent="0.15">
      <c r="A764" s="3"/>
      <c r="B764" s="4"/>
    </row>
    <row r="765" spans="1:2" ht="13" x14ac:dyDescent="0.15">
      <c r="A765" s="3"/>
      <c r="B765" s="4"/>
    </row>
    <row r="766" spans="1:2" ht="13" x14ac:dyDescent="0.15">
      <c r="A766" s="3"/>
      <c r="B766" s="4"/>
    </row>
    <row r="767" spans="1:2" ht="13" x14ac:dyDescent="0.15">
      <c r="A767" s="3"/>
      <c r="B767" s="4"/>
    </row>
    <row r="768" spans="1:2" ht="13" x14ac:dyDescent="0.15">
      <c r="A768" s="3"/>
      <c r="B768" s="4"/>
    </row>
    <row r="769" spans="1:2" ht="13" x14ac:dyDescent="0.15">
      <c r="A769" s="3"/>
      <c r="B769" s="4"/>
    </row>
    <row r="770" spans="1:2" ht="13" x14ac:dyDescent="0.15">
      <c r="A770" s="3"/>
      <c r="B770" s="4"/>
    </row>
    <row r="771" spans="1:2" ht="13" x14ac:dyDescent="0.15">
      <c r="A771" s="3"/>
      <c r="B771" s="4"/>
    </row>
    <row r="772" spans="1:2" ht="13" x14ac:dyDescent="0.15">
      <c r="A772" s="3"/>
      <c r="B772" s="4"/>
    </row>
    <row r="773" spans="1:2" ht="13" x14ac:dyDescent="0.15">
      <c r="A773" s="3"/>
      <c r="B773" s="4"/>
    </row>
    <row r="774" spans="1:2" ht="13" x14ac:dyDescent="0.15">
      <c r="A774" s="3"/>
      <c r="B774" s="4"/>
    </row>
    <row r="775" spans="1:2" ht="13" x14ac:dyDescent="0.15">
      <c r="A775" s="3"/>
      <c r="B775" s="4"/>
    </row>
    <row r="776" spans="1:2" ht="13" x14ac:dyDescent="0.15">
      <c r="A776" s="3"/>
      <c r="B776" s="4"/>
    </row>
    <row r="777" spans="1:2" ht="13" x14ac:dyDescent="0.15">
      <c r="A777" s="3"/>
      <c r="B777" s="4"/>
    </row>
    <row r="778" spans="1:2" ht="13" x14ac:dyDescent="0.15">
      <c r="A778" s="3"/>
      <c r="B778" s="4"/>
    </row>
    <row r="779" spans="1:2" ht="13" x14ac:dyDescent="0.15">
      <c r="A779" s="3"/>
      <c r="B779" s="4"/>
    </row>
    <row r="780" spans="1:2" ht="13" x14ac:dyDescent="0.15">
      <c r="A780" s="3"/>
      <c r="B780" s="4"/>
    </row>
    <row r="781" spans="1:2" ht="13" x14ac:dyDescent="0.15">
      <c r="A781" s="3"/>
      <c r="B781" s="4"/>
    </row>
    <row r="782" spans="1:2" ht="13" x14ac:dyDescent="0.15">
      <c r="A782" s="3"/>
      <c r="B782" s="4"/>
    </row>
    <row r="783" spans="1:2" ht="13" x14ac:dyDescent="0.15">
      <c r="A783" s="3"/>
      <c r="B783" s="4"/>
    </row>
    <row r="784" spans="1:2" ht="13" x14ac:dyDescent="0.15">
      <c r="A784" s="3"/>
      <c r="B784" s="4"/>
    </row>
    <row r="785" spans="1:2" ht="13" x14ac:dyDescent="0.15">
      <c r="A785" s="3"/>
      <c r="B785" s="4"/>
    </row>
    <row r="786" spans="1:2" ht="13" x14ac:dyDescent="0.15">
      <c r="A786" s="3"/>
      <c r="B786" s="4"/>
    </row>
    <row r="787" spans="1:2" ht="13" x14ac:dyDescent="0.15">
      <c r="A787" s="3"/>
      <c r="B787" s="4"/>
    </row>
    <row r="788" spans="1:2" ht="13" x14ac:dyDescent="0.15">
      <c r="A788" s="3"/>
      <c r="B788" s="4"/>
    </row>
    <row r="789" spans="1:2" ht="13" x14ac:dyDescent="0.15">
      <c r="A789" s="3"/>
      <c r="B789" s="4"/>
    </row>
    <row r="790" spans="1:2" ht="13" x14ac:dyDescent="0.15">
      <c r="A790" s="3"/>
      <c r="B790" s="4"/>
    </row>
    <row r="791" spans="1:2" ht="13" x14ac:dyDescent="0.15">
      <c r="A791" s="3"/>
      <c r="B791" s="4"/>
    </row>
    <row r="792" spans="1:2" ht="13" x14ac:dyDescent="0.15">
      <c r="A792" s="3"/>
      <c r="B792" s="4"/>
    </row>
    <row r="793" spans="1:2" ht="13" x14ac:dyDescent="0.15">
      <c r="A793" s="3"/>
      <c r="B793" s="4"/>
    </row>
    <row r="794" spans="1:2" ht="13" x14ac:dyDescent="0.15">
      <c r="A794" s="3"/>
      <c r="B794" s="4"/>
    </row>
    <row r="795" spans="1:2" ht="13" x14ac:dyDescent="0.15">
      <c r="A795" s="3"/>
      <c r="B795" s="4"/>
    </row>
    <row r="796" spans="1:2" ht="13" x14ac:dyDescent="0.15">
      <c r="A796" s="3"/>
      <c r="B796" s="4"/>
    </row>
    <row r="797" spans="1:2" ht="13" x14ac:dyDescent="0.15">
      <c r="A797" s="3"/>
      <c r="B797" s="4"/>
    </row>
    <row r="798" spans="1:2" ht="13" x14ac:dyDescent="0.15">
      <c r="A798" s="3"/>
      <c r="B798" s="4"/>
    </row>
    <row r="799" spans="1:2" ht="13" x14ac:dyDescent="0.15">
      <c r="A799" s="3"/>
      <c r="B799" s="4"/>
    </row>
    <row r="800" spans="1:2" ht="13" x14ac:dyDescent="0.15">
      <c r="A800" s="3"/>
      <c r="B800" s="4"/>
    </row>
    <row r="801" spans="1:2" ht="13" x14ac:dyDescent="0.15">
      <c r="A801" s="3"/>
      <c r="B801" s="4"/>
    </row>
    <row r="802" spans="1:2" ht="13" x14ac:dyDescent="0.15">
      <c r="A802" s="3"/>
      <c r="B802" s="4"/>
    </row>
    <row r="803" spans="1:2" ht="13" x14ac:dyDescent="0.15">
      <c r="A803" s="3"/>
      <c r="B803" s="4"/>
    </row>
    <row r="804" spans="1:2" ht="13" x14ac:dyDescent="0.15">
      <c r="A804" s="3"/>
      <c r="B804" s="4"/>
    </row>
    <row r="805" spans="1:2" ht="13" x14ac:dyDescent="0.15">
      <c r="A805" s="3"/>
      <c r="B805" s="4"/>
    </row>
    <row r="806" spans="1:2" ht="13" x14ac:dyDescent="0.15">
      <c r="A806" s="3"/>
      <c r="B806" s="4"/>
    </row>
    <row r="807" spans="1:2" ht="13" x14ac:dyDescent="0.15">
      <c r="A807" s="3"/>
      <c r="B807" s="4"/>
    </row>
    <row r="808" spans="1:2" ht="13" x14ac:dyDescent="0.15">
      <c r="A808" s="3"/>
      <c r="B808" s="4"/>
    </row>
    <row r="809" spans="1:2" ht="13" x14ac:dyDescent="0.15">
      <c r="A809" s="3"/>
      <c r="B809" s="4"/>
    </row>
    <row r="810" spans="1:2" ht="13" x14ac:dyDescent="0.15">
      <c r="A810" s="3"/>
      <c r="B810" s="4"/>
    </row>
    <row r="811" spans="1:2" ht="13" x14ac:dyDescent="0.15">
      <c r="A811" s="3"/>
      <c r="B811" s="4"/>
    </row>
    <row r="812" spans="1:2" ht="13" x14ac:dyDescent="0.15">
      <c r="A812" s="3"/>
      <c r="B812" s="4"/>
    </row>
    <row r="813" spans="1:2" ht="13" x14ac:dyDescent="0.15">
      <c r="A813" s="3"/>
      <c r="B813" s="4"/>
    </row>
    <row r="814" spans="1:2" ht="13" x14ac:dyDescent="0.15">
      <c r="A814" s="3"/>
      <c r="B814" s="4"/>
    </row>
    <row r="815" spans="1:2" ht="13" x14ac:dyDescent="0.15">
      <c r="A815" s="3"/>
      <c r="B815" s="4"/>
    </row>
    <row r="816" spans="1:2" ht="13" x14ac:dyDescent="0.15">
      <c r="A816" s="3"/>
      <c r="B816" s="4"/>
    </row>
    <row r="817" spans="1:2" ht="13" x14ac:dyDescent="0.15">
      <c r="A817" s="3"/>
      <c r="B817" s="4"/>
    </row>
    <row r="818" spans="1:2" ht="13" x14ac:dyDescent="0.15">
      <c r="A818" s="3"/>
      <c r="B818" s="4"/>
    </row>
    <row r="819" spans="1:2" ht="13" x14ac:dyDescent="0.15">
      <c r="A819" s="3"/>
      <c r="B819" s="4"/>
    </row>
    <row r="820" spans="1:2" ht="13" x14ac:dyDescent="0.15">
      <c r="A820" s="3"/>
      <c r="B820" s="4"/>
    </row>
    <row r="821" spans="1:2" ht="13" x14ac:dyDescent="0.15">
      <c r="A821" s="3"/>
      <c r="B821" s="4"/>
    </row>
    <row r="822" spans="1:2" ht="13" x14ac:dyDescent="0.15">
      <c r="A822" s="3"/>
      <c r="B822" s="4"/>
    </row>
    <row r="823" spans="1:2" ht="13" x14ac:dyDescent="0.15">
      <c r="A823" s="3"/>
      <c r="B823" s="4"/>
    </row>
    <row r="824" spans="1:2" ht="13" x14ac:dyDescent="0.15">
      <c r="A824" s="3"/>
      <c r="B824" s="4"/>
    </row>
    <row r="825" spans="1:2" ht="13" x14ac:dyDescent="0.15">
      <c r="A825" s="3"/>
      <c r="B825" s="4"/>
    </row>
    <row r="826" spans="1:2" ht="13" x14ac:dyDescent="0.15">
      <c r="A826" s="3"/>
      <c r="B826" s="4"/>
    </row>
    <row r="827" spans="1:2" ht="13" x14ac:dyDescent="0.15">
      <c r="A827" s="3"/>
      <c r="B827" s="4"/>
    </row>
    <row r="828" spans="1:2" ht="13" x14ac:dyDescent="0.15">
      <c r="A828" s="3"/>
      <c r="B828" s="4"/>
    </row>
    <row r="829" spans="1:2" ht="13" x14ac:dyDescent="0.15">
      <c r="A829" s="3"/>
      <c r="B829" s="4"/>
    </row>
    <row r="830" spans="1:2" ht="13" x14ac:dyDescent="0.15">
      <c r="A830" s="3"/>
      <c r="B830" s="4"/>
    </row>
    <row r="831" spans="1:2" ht="13" x14ac:dyDescent="0.15">
      <c r="A831" s="3"/>
      <c r="B831" s="4"/>
    </row>
    <row r="832" spans="1:2" ht="13" x14ac:dyDescent="0.15">
      <c r="A832" s="3"/>
      <c r="B832" s="4"/>
    </row>
    <row r="833" spans="1:2" ht="13" x14ac:dyDescent="0.15">
      <c r="A833" s="3"/>
      <c r="B833" s="4"/>
    </row>
    <row r="834" spans="1:2" ht="13" x14ac:dyDescent="0.15">
      <c r="A834" s="3"/>
      <c r="B834" s="4"/>
    </row>
    <row r="835" spans="1:2" ht="13" x14ac:dyDescent="0.15">
      <c r="A835" s="3"/>
      <c r="B835" s="4"/>
    </row>
    <row r="836" spans="1:2" ht="13" x14ac:dyDescent="0.15">
      <c r="A836" s="3"/>
      <c r="B836" s="4"/>
    </row>
    <row r="837" spans="1:2" ht="13" x14ac:dyDescent="0.15">
      <c r="A837" s="3"/>
      <c r="B837" s="4"/>
    </row>
    <row r="838" spans="1:2" ht="13" x14ac:dyDescent="0.15">
      <c r="A838" s="3"/>
      <c r="B838" s="4"/>
    </row>
    <row r="839" spans="1:2" ht="13" x14ac:dyDescent="0.15">
      <c r="A839" s="3"/>
      <c r="B839" s="4"/>
    </row>
    <row r="840" spans="1:2" ht="13" x14ac:dyDescent="0.15">
      <c r="A840" s="3"/>
      <c r="B840" s="4"/>
    </row>
    <row r="841" spans="1:2" ht="13" x14ac:dyDescent="0.15">
      <c r="A841" s="3"/>
      <c r="B841" s="4"/>
    </row>
    <row r="842" spans="1:2" ht="13" x14ac:dyDescent="0.15">
      <c r="A842" s="3"/>
      <c r="B842" s="4"/>
    </row>
    <row r="843" spans="1:2" ht="13" x14ac:dyDescent="0.15">
      <c r="A843" s="3"/>
      <c r="B843" s="4"/>
    </row>
    <row r="844" spans="1:2" ht="13" x14ac:dyDescent="0.15">
      <c r="A844" s="3"/>
      <c r="B844" s="4"/>
    </row>
    <row r="845" spans="1:2" ht="13" x14ac:dyDescent="0.15">
      <c r="A845" s="3"/>
      <c r="B845" s="4"/>
    </row>
    <row r="846" spans="1:2" ht="13" x14ac:dyDescent="0.15">
      <c r="A846" s="3"/>
      <c r="B846" s="4"/>
    </row>
    <row r="847" spans="1:2" ht="13" x14ac:dyDescent="0.15">
      <c r="A847" s="3"/>
      <c r="B847" s="4"/>
    </row>
    <row r="848" spans="1:2" ht="13" x14ac:dyDescent="0.15">
      <c r="A848" s="3"/>
      <c r="B848" s="4"/>
    </row>
    <row r="849" spans="1:2" ht="13" x14ac:dyDescent="0.15">
      <c r="A849" s="3"/>
      <c r="B849" s="4"/>
    </row>
    <row r="850" spans="1:2" ht="13" x14ac:dyDescent="0.15">
      <c r="A850" s="3"/>
      <c r="B850" s="4"/>
    </row>
    <row r="851" spans="1:2" ht="13" x14ac:dyDescent="0.15">
      <c r="A851" s="3"/>
      <c r="B851" s="4"/>
    </row>
    <row r="852" spans="1:2" ht="13" x14ac:dyDescent="0.15">
      <c r="A852" s="3"/>
      <c r="B852" s="4"/>
    </row>
    <row r="853" spans="1:2" ht="13" x14ac:dyDescent="0.15">
      <c r="A853" s="3"/>
      <c r="B853" s="4"/>
    </row>
    <row r="854" spans="1:2" ht="13" x14ac:dyDescent="0.15">
      <c r="A854" s="3"/>
      <c r="B854" s="4"/>
    </row>
    <row r="855" spans="1:2" ht="13" x14ac:dyDescent="0.15">
      <c r="A855" s="3"/>
      <c r="B855" s="4"/>
    </row>
    <row r="856" spans="1:2" ht="13" x14ac:dyDescent="0.15">
      <c r="A856" s="3"/>
      <c r="B856" s="4"/>
    </row>
    <row r="857" spans="1:2" ht="13" x14ac:dyDescent="0.15">
      <c r="A857" s="3"/>
      <c r="B857" s="4"/>
    </row>
    <row r="858" spans="1:2" ht="13" x14ac:dyDescent="0.15">
      <c r="A858" s="3"/>
      <c r="B858" s="4"/>
    </row>
    <row r="859" spans="1:2" ht="13" x14ac:dyDescent="0.15">
      <c r="A859" s="3"/>
      <c r="B859" s="4"/>
    </row>
    <row r="860" spans="1:2" ht="13" x14ac:dyDescent="0.15">
      <c r="A860" s="3"/>
      <c r="B860" s="4"/>
    </row>
    <row r="861" spans="1:2" ht="13" x14ac:dyDescent="0.15">
      <c r="A861" s="3"/>
      <c r="B861" s="4"/>
    </row>
    <row r="862" spans="1:2" ht="13" x14ac:dyDescent="0.15">
      <c r="A862" s="3"/>
      <c r="B862" s="4"/>
    </row>
    <row r="863" spans="1:2" ht="13" x14ac:dyDescent="0.15">
      <c r="A863" s="3"/>
      <c r="B863" s="4"/>
    </row>
    <row r="864" spans="1:2" ht="13" x14ac:dyDescent="0.15">
      <c r="A864" s="3"/>
      <c r="B864" s="4"/>
    </row>
    <row r="865" spans="1:2" ht="13" x14ac:dyDescent="0.15">
      <c r="A865" s="3"/>
      <c r="B865" s="4"/>
    </row>
    <row r="866" spans="1:2" ht="13" x14ac:dyDescent="0.15">
      <c r="A866" s="3"/>
      <c r="B866" s="4"/>
    </row>
    <row r="867" spans="1:2" ht="13" x14ac:dyDescent="0.15">
      <c r="A867" s="3"/>
      <c r="B867" s="4"/>
    </row>
    <row r="868" spans="1:2" ht="13" x14ac:dyDescent="0.15">
      <c r="A868" s="3"/>
      <c r="B868" s="4"/>
    </row>
    <row r="869" spans="1:2" ht="13" x14ac:dyDescent="0.15">
      <c r="A869" s="3"/>
      <c r="B869" s="4"/>
    </row>
    <row r="870" spans="1:2" ht="13" x14ac:dyDescent="0.15">
      <c r="A870" s="3"/>
      <c r="B870" s="4"/>
    </row>
    <row r="871" spans="1:2" ht="13" x14ac:dyDescent="0.15">
      <c r="A871" s="3"/>
      <c r="B871" s="4"/>
    </row>
    <row r="872" spans="1:2" ht="13" x14ac:dyDescent="0.15">
      <c r="A872" s="3"/>
      <c r="B872" s="4"/>
    </row>
    <row r="873" spans="1:2" ht="13" x14ac:dyDescent="0.15">
      <c r="A873" s="3"/>
      <c r="B873" s="4"/>
    </row>
    <row r="874" spans="1:2" ht="13" x14ac:dyDescent="0.15">
      <c r="A874" s="3"/>
      <c r="B874" s="4"/>
    </row>
    <row r="875" spans="1:2" ht="13" x14ac:dyDescent="0.15">
      <c r="A875" s="3"/>
      <c r="B875" s="4"/>
    </row>
    <row r="876" spans="1:2" ht="13" x14ac:dyDescent="0.15">
      <c r="A876" s="3"/>
      <c r="B876" s="4"/>
    </row>
    <row r="877" spans="1:2" ht="13" x14ac:dyDescent="0.15">
      <c r="A877" s="3"/>
      <c r="B877" s="4"/>
    </row>
    <row r="878" spans="1:2" ht="13" x14ac:dyDescent="0.15">
      <c r="A878" s="3"/>
      <c r="B878" s="4"/>
    </row>
    <row r="879" spans="1:2" ht="13" x14ac:dyDescent="0.15">
      <c r="A879" s="3"/>
      <c r="B879" s="4"/>
    </row>
    <row r="880" spans="1:2" ht="13" x14ac:dyDescent="0.15">
      <c r="A880" s="3"/>
      <c r="B880" s="4"/>
    </row>
    <row r="881" spans="1:2" ht="13" x14ac:dyDescent="0.15">
      <c r="A881" s="3"/>
      <c r="B881" s="4"/>
    </row>
    <row r="882" spans="1:2" ht="13" x14ac:dyDescent="0.15">
      <c r="A882" s="3"/>
      <c r="B882" s="4"/>
    </row>
    <row r="883" spans="1:2" ht="13" x14ac:dyDescent="0.15">
      <c r="A883" s="3"/>
      <c r="B883" s="4"/>
    </row>
    <row r="884" spans="1:2" ht="13" x14ac:dyDescent="0.15">
      <c r="A884" s="3"/>
      <c r="B884" s="4"/>
    </row>
    <row r="885" spans="1:2" ht="13" x14ac:dyDescent="0.15">
      <c r="A885" s="3"/>
      <c r="B885" s="4"/>
    </row>
    <row r="886" spans="1:2" ht="13" x14ac:dyDescent="0.15">
      <c r="A886" s="3"/>
      <c r="B886" s="4"/>
    </row>
    <row r="887" spans="1:2" ht="13" x14ac:dyDescent="0.15">
      <c r="A887" s="3"/>
      <c r="B887" s="4"/>
    </row>
    <row r="888" spans="1:2" ht="13" x14ac:dyDescent="0.15">
      <c r="A888" s="3"/>
      <c r="B888" s="4"/>
    </row>
    <row r="889" spans="1:2" ht="13" x14ac:dyDescent="0.15">
      <c r="A889" s="3"/>
      <c r="B889" s="4"/>
    </row>
    <row r="890" spans="1:2" ht="13" x14ac:dyDescent="0.15">
      <c r="A890" s="3"/>
      <c r="B890" s="4"/>
    </row>
    <row r="891" spans="1:2" ht="13" x14ac:dyDescent="0.15">
      <c r="A891" s="3"/>
      <c r="B891" s="4"/>
    </row>
    <row r="892" spans="1:2" ht="13" x14ac:dyDescent="0.15">
      <c r="A892" s="3"/>
      <c r="B892" s="4"/>
    </row>
    <row r="893" spans="1:2" ht="13" x14ac:dyDescent="0.15">
      <c r="A893" s="3"/>
      <c r="B893" s="4"/>
    </row>
    <row r="894" spans="1:2" ht="13" x14ac:dyDescent="0.15">
      <c r="A894" s="3"/>
      <c r="B894" s="4"/>
    </row>
    <row r="895" spans="1:2" ht="13" x14ac:dyDescent="0.15">
      <c r="A895" s="3"/>
      <c r="B895" s="4"/>
    </row>
    <row r="896" spans="1:2" ht="13" x14ac:dyDescent="0.15">
      <c r="A896" s="3"/>
      <c r="B896" s="4"/>
    </row>
    <row r="897" spans="1:2" ht="13" x14ac:dyDescent="0.15">
      <c r="A897" s="3"/>
      <c r="B897" s="4"/>
    </row>
    <row r="898" spans="1:2" ht="13" x14ac:dyDescent="0.15">
      <c r="A898" s="3"/>
      <c r="B898" s="4"/>
    </row>
    <row r="899" spans="1:2" ht="13" x14ac:dyDescent="0.15">
      <c r="A899" s="3"/>
      <c r="B899" s="4"/>
    </row>
    <row r="900" spans="1:2" ht="13" x14ac:dyDescent="0.15">
      <c r="A900" s="3"/>
      <c r="B900" s="4"/>
    </row>
    <row r="901" spans="1:2" ht="13" x14ac:dyDescent="0.15">
      <c r="A901" s="3"/>
      <c r="B901" s="4"/>
    </row>
    <row r="902" spans="1:2" ht="13" x14ac:dyDescent="0.15">
      <c r="A902" s="3"/>
      <c r="B902" s="4"/>
    </row>
    <row r="903" spans="1:2" ht="13" x14ac:dyDescent="0.15">
      <c r="A903" s="3"/>
      <c r="B903" s="4"/>
    </row>
    <row r="904" spans="1:2" ht="13" x14ac:dyDescent="0.15">
      <c r="A904" s="3"/>
      <c r="B904" s="4"/>
    </row>
    <row r="905" spans="1:2" ht="13" x14ac:dyDescent="0.15">
      <c r="A905" s="3"/>
      <c r="B905" s="4"/>
    </row>
    <row r="906" spans="1:2" ht="13" x14ac:dyDescent="0.15">
      <c r="A906" s="3"/>
      <c r="B906" s="4"/>
    </row>
    <row r="907" spans="1:2" ht="13" x14ac:dyDescent="0.15">
      <c r="A907" s="3"/>
      <c r="B907" s="4"/>
    </row>
    <row r="908" spans="1:2" ht="13" x14ac:dyDescent="0.15">
      <c r="A908" s="3"/>
      <c r="B908" s="4"/>
    </row>
    <row r="909" spans="1:2" ht="13" x14ac:dyDescent="0.15">
      <c r="A909" s="3"/>
      <c r="B909" s="4"/>
    </row>
    <row r="910" spans="1:2" ht="13" x14ac:dyDescent="0.15">
      <c r="A910" s="3"/>
      <c r="B910" s="4"/>
    </row>
    <row r="911" spans="1:2" ht="13" x14ac:dyDescent="0.15">
      <c r="A911" s="3"/>
      <c r="B911" s="4"/>
    </row>
    <row r="912" spans="1:2" ht="13" x14ac:dyDescent="0.15">
      <c r="A912" s="3"/>
      <c r="B912" s="4"/>
    </row>
    <row r="913" spans="1:2" ht="13" x14ac:dyDescent="0.15">
      <c r="A913" s="3"/>
      <c r="B913" s="4"/>
    </row>
    <row r="914" spans="1:2" ht="13" x14ac:dyDescent="0.15">
      <c r="A914" s="3"/>
      <c r="B914" s="4"/>
    </row>
    <row r="915" spans="1:2" ht="13" x14ac:dyDescent="0.15">
      <c r="A915" s="3"/>
      <c r="B915" s="4"/>
    </row>
    <row r="916" spans="1:2" ht="13" x14ac:dyDescent="0.15">
      <c r="A916" s="3"/>
      <c r="B916" s="4"/>
    </row>
    <row r="917" spans="1:2" ht="13" x14ac:dyDescent="0.15">
      <c r="A917" s="3"/>
      <c r="B917" s="4"/>
    </row>
    <row r="918" spans="1:2" ht="13" x14ac:dyDescent="0.15">
      <c r="A918" s="3"/>
      <c r="B918" s="4"/>
    </row>
    <row r="919" spans="1:2" ht="13" x14ac:dyDescent="0.15">
      <c r="A919" s="3"/>
      <c r="B919" s="4"/>
    </row>
    <row r="920" spans="1:2" ht="13" x14ac:dyDescent="0.15">
      <c r="A920" s="3"/>
      <c r="B920" s="4"/>
    </row>
    <row r="921" spans="1:2" ht="13" x14ac:dyDescent="0.15">
      <c r="A921" s="3"/>
      <c r="B921" s="4"/>
    </row>
    <row r="922" spans="1:2" ht="13" x14ac:dyDescent="0.15">
      <c r="A922" s="3"/>
      <c r="B922" s="4"/>
    </row>
    <row r="923" spans="1:2" ht="13" x14ac:dyDescent="0.15">
      <c r="A923" s="3"/>
      <c r="B923" s="4"/>
    </row>
    <row r="924" spans="1:2" ht="13" x14ac:dyDescent="0.15">
      <c r="A924" s="3"/>
      <c r="B924" s="4"/>
    </row>
    <row r="925" spans="1:2" ht="13" x14ac:dyDescent="0.15">
      <c r="A925" s="3"/>
      <c r="B925" s="4"/>
    </row>
    <row r="926" spans="1:2" ht="13" x14ac:dyDescent="0.15">
      <c r="A926" s="3"/>
      <c r="B926" s="4"/>
    </row>
    <row r="927" spans="1:2" ht="13" x14ac:dyDescent="0.15">
      <c r="A927" s="3"/>
      <c r="B927" s="4"/>
    </row>
    <row r="928" spans="1:2" ht="13" x14ac:dyDescent="0.15">
      <c r="A928" s="3"/>
      <c r="B928" s="4"/>
    </row>
    <row r="929" spans="1:2" ht="13" x14ac:dyDescent="0.15">
      <c r="A929" s="3"/>
      <c r="B929" s="4"/>
    </row>
    <row r="930" spans="1:2" ht="13" x14ac:dyDescent="0.15">
      <c r="A930" s="3"/>
      <c r="B930" s="4"/>
    </row>
    <row r="931" spans="1:2" ht="13" x14ac:dyDescent="0.15">
      <c r="A931" s="3"/>
      <c r="B931" s="4"/>
    </row>
    <row r="932" spans="1:2" ht="13" x14ac:dyDescent="0.15">
      <c r="A932" s="3"/>
      <c r="B932" s="4"/>
    </row>
    <row r="933" spans="1:2" ht="13" x14ac:dyDescent="0.15">
      <c r="A933" s="3"/>
      <c r="B933" s="4"/>
    </row>
    <row r="934" spans="1:2" ht="13" x14ac:dyDescent="0.15">
      <c r="A934" s="3"/>
      <c r="B934" s="4"/>
    </row>
    <row r="935" spans="1:2" ht="13" x14ac:dyDescent="0.15">
      <c r="A935" s="3"/>
      <c r="B935" s="4"/>
    </row>
    <row r="936" spans="1:2" ht="13" x14ac:dyDescent="0.15">
      <c r="A936" s="3"/>
      <c r="B936" s="4"/>
    </row>
    <row r="937" spans="1:2" ht="13" x14ac:dyDescent="0.15">
      <c r="A937" s="3"/>
      <c r="B937" s="4"/>
    </row>
    <row r="938" spans="1:2" ht="13" x14ac:dyDescent="0.15">
      <c r="A938" s="3"/>
      <c r="B938" s="4"/>
    </row>
    <row r="939" spans="1:2" ht="13" x14ac:dyDescent="0.15">
      <c r="A939" s="3"/>
      <c r="B939" s="4"/>
    </row>
    <row r="940" spans="1:2" ht="13" x14ac:dyDescent="0.15">
      <c r="A940" s="3"/>
      <c r="B940" s="4"/>
    </row>
    <row r="941" spans="1:2" ht="13" x14ac:dyDescent="0.15">
      <c r="A941" s="3"/>
      <c r="B941" s="4"/>
    </row>
    <row r="942" spans="1:2" ht="13" x14ac:dyDescent="0.15">
      <c r="A942" s="3"/>
      <c r="B942" s="4"/>
    </row>
    <row r="943" spans="1:2" ht="13" x14ac:dyDescent="0.15">
      <c r="A943" s="3"/>
      <c r="B943" s="4"/>
    </row>
    <row r="944" spans="1:2" ht="13" x14ac:dyDescent="0.15">
      <c r="A944" s="3"/>
      <c r="B944" s="4"/>
    </row>
    <row r="945" spans="1:2" ht="13" x14ac:dyDescent="0.15">
      <c r="A945" s="3"/>
      <c r="B945" s="4"/>
    </row>
    <row r="946" spans="1:2" ht="13" x14ac:dyDescent="0.15">
      <c r="A946" s="3"/>
      <c r="B946" s="4"/>
    </row>
    <row r="947" spans="1:2" ht="13" x14ac:dyDescent="0.15">
      <c r="A947" s="3"/>
      <c r="B947" s="4"/>
    </row>
    <row r="948" spans="1:2" ht="13" x14ac:dyDescent="0.15">
      <c r="A948" s="3"/>
      <c r="B948" s="4"/>
    </row>
    <row r="949" spans="1:2" ht="13" x14ac:dyDescent="0.15">
      <c r="A949" s="3"/>
      <c r="B949" s="4"/>
    </row>
    <row r="950" spans="1:2" ht="13" x14ac:dyDescent="0.15">
      <c r="A950" s="3"/>
      <c r="B950" s="4"/>
    </row>
    <row r="951" spans="1:2" ht="13" x14ac:dyDescent="0.15">
      <c r="A951" s="3"/>
      <c r="B951" s="4"/>
    </row>
    <row r="952" spans="1:2" ht="13" x14ac:dyDescent="0.15">
      <c r="A952" s="3"/>
      <c r="B952" s="4"/>
    </row>
    <row r="953" spans="1:2" ht="13" x14ac:dyDescent="0.15">
      <c r="A953" s="3"/>
      <c r="B953" s="4"/>
    </row>
    <row r="954" spans="1:2" ht="13" x14ac:dyDescent="0.15">
      <c r="A954" s="3"/>
      <c r="B954" s="4"/>
    </row>
    <row r="955" spans="1:2" ht="13" x14ac:dyDescent="0.15">
      <c r="A955" s="3"/>
      <c r="B955" s="4"/>
    </row>
    <row r="956" spans="1:2" ht="13" x14ac:dyDescent="0.15">
      <c r="A956" s="3"/>
      <c r="B956" s="4"/>
    </row>
    <row r="957" spans="1:2" ht="13" x14ac:dyDescent="0.15">
      <c r="A957" s="3"/>
      <c r="B957" s="4"/>
    </row>
    <row r="958" spans="1:2" ht="13" x14ac:dyDescent="0.15">
      <c r="A958" s="3"/>
      <c r="B958" s="4"/>
    </row>
    <row r="959" spans="1:2" ht="13" x14ac:dyDescent="0.15">
      <c r="A959" s="3"/>
      <c r="B959" s="4"/>
    </row>
    <row r="960" spans="1:2" ht="13" x14ac:dyDescent="0.15">
      <c r="A960" s="3"/>
      <c r="B960" s="4"/>
    </row>
    <row r="961" spans="1:2" ht="13" x14ac:dyDescent="0.15">
      <c r="A961" s="3"/>
      <c r="B961" s="4"/>
    </row>
    <row r="962" spans="1:2" ht="13" x14ac:dyDescent="0.15">
      <c r="A962" s="3"/>
      <c r="B962" s="4"/>
    </row>
    <row r="963" spans="1:2" ht="13" x14ac:dyDescent="0.15">
      <c r="A963" s="3"/>
      <c r="B963" s="4"/>
    </row>
    <row r="964" spans="1:2" ht="13" x14ac:dyDescent="0.15">
      <c r="A964" s="3"/>
      <c r="B964" s="4"/>
    </row>
    <row r="965" spans="1:2" ht="13" x14ac:dyDescent="0.15">
      <c r="A965" s="3"/>
      <c r="B965" s="4"/>
    </row>
    <row r="966" spans="1:2" ht="13" x14ac:dyDescent="0.15">
      <c r="A966" s="3"/>
      <c r="B966" s="4"/>
    </row>
    <row r="967" spans="1:2" ht="13" x14ac:dyDescent="0.15">
      <c r="A967" s="3"/>
      <c r="B967" s="4"/>
    </row>
    <row r="968" spans="1:2" ht="13" x14ac:dyDescent="0.15">
      <c r="A968" s="3"/>
      <c r="B968" s="4"/>
    </row>
    <row r="969" spans="1:2" ht="13" x14ac:dyDescent="0.15">
      <c r="A969" s="3"/>
      <c r="B969" s="4"/>
    </row>
    <row r="970" spans="1:2" ht="13" x14ac:dyDescent="0.15">
      <c r="A970" s="3"/>
      <c r="B970" s="4"/>
    </row>
    <row r="971" spans="1:2" ht="13" x14ac:dyDescent="0.15">
      <c r="A971" s="3"/>
      <c r="B971" s="4"/>
    </row>
    <row r="972" spans="1:2" ht="13" x14ac:dyDescent="0.15">
      <c r="A972" s="3"/>
      <c r="B972" s="4"/>
    </row>
    <row r="973" spans="1:2" ht="13" x14ac:dyDescent="0.15">
      <c r="A973" s="3"/>
      <c r="B973" s="4"/>
    </row>
    <row r="974" spans="1:2" ht="13" x14ac:dyDescent="0.15">
      <c r="A974" s="3"/>
      <c r="B974" s="4"/>
    </row>
    <row r="975" spans="1:2" ht="13" x14ac:dyDescent="0.15">
      <c r="A975" s="3"/>
      <c r="B975" s="4"/>
    </row>
    <row r="976" spans="1:2" ht="13" x14ac:dyDescent="0.15">
      <c r="A976" s="3"/>
      <c r="B976" s="4"/>
    </row>
    <row r="977" spans="1:2" ht="13" x14ac:dyDescent="0.15">
      <c r="A977" s="3"/>
      <c r="B977" s="4"/>
    </row>
    <row r="978" spans="1:2" ht="13" x14ac:dyDescent="0.15">
      <c r="A978" s="3"/>
      <c r="B978" s="4"/>
    </row>
    <row r="979" spans="1:2" ht="13" x14ac:dyDescent="0.15">
      <c r="A979" s="3"/>
      <c r="B979" s="4"/>
    </row>
    <row r="980" spans="1:2" ht="13" x14ac:dyDescent="0.15">
      <c r="A980" s="3"/>
      <c r="B980" s="4"/>
    </row>
    <row r="981" spans="1:2" ht="13" x14ac:dyDescent="0.15">
      <c r="A981" s="3"/>
      <c r="B981" s="4"/>
    </row>
    <row r="982" spans="1:2" ht="13" x14ac:dyDescent="0.15">
      <c r="A982" s="3"/>
      <c r="B982" s="4"/>
    </row>
    <row r="983" spans="1:2" ht="13" x14ac:dyDescent="0.15">
      <c r="A983" s="3"/>
      <c r="B983" s="4"/>
    </row>
    <row r="984" spans="1:2" ht="13" x14ac:dyDescent="0.15">
      <c r="A984" s="3"/>
      <c r="B984" s="4"/>
    </row>
    <row r="985" spans="1:2" ht="13" x14ac:dyDescent="0.15">
      <c r="A985" s="3"/>
      <c r="B985" s="4"/>
    </row>
    <row r="986" spans="1:2" ht="13" x14ac:dyDescent="0.15">
      <c r="A986" s="3"/>
      <c r="B986" s="4"/>
    </row>
    <row r="987" spans="1:2" ht="13" x14ac:dyDescent="0.15">
      <c r="A987" s="3"/>
      <c r="B987" s="4"/>
    </row>
    <row r="988" spans="1:2" ht="13" x14ac:dyDescent="0.15">
      <c r="A988" s="3"/>
      <c r="B988" s="4"/>
    </row>
    <row r="989" spans="1:2" ht="13" x14ac:dyDescent="0.15">
      <c r="A989" s="3"/>
      <c r="B989" s="4"/>
    </row>
    <row r="990" spans="1:2" ht="13" x14ac:dyDescent="0.15">
      <c r="A990" s="3"/>
      <c r="B990" s="4"/>
    </row>
    <row r="991" spans="1:2" ht="13" x14ac:dyDescent="0.15">
      <c r="A991" s="3"/>
      <c r="B991" s="4"/>
    </row>
    <row r="992" spans="1:2" ht="13" x14ac:dyDescent="0.15">
      <c r="A992" s="3"/>
      <c r="B992" s="4"/>
    </row>
    <row r="993" spans="1:2" ht="13" x14ac:dyDescent="0.15">
      <c r="A993" s="3"/>
      <c r="B993" s="4"/>
    </row>
    <row r="994" spans="1:2" ht="13" x14ac:dyDescent="0.15">
      <c r="A994" s="3"/>
      <c r="B994" s="4"/>
    </row>
    <row r="995" spans="1:2" ht="13" x14ac:dyDescent="0.15">
      <c r="A995" s="3"/>
      <c r="B995" s="4"/>
    </row>
    <row r="996" spans="1:2" ht="13" x14ac:dyDescent="0.15">
      <c r="A996" s="3"/>
      <c r="B996" s="4"/>
    </row>
    <row r="997" spans="1:2" ht="13" x14ac:dyDescent="0.15">
      <c r="A997" s="3"/>
      <c r="B997" s="4"/>
    </row>
    <row r="998" spans="1:2" ht="13" x14ac:dyDescent="0.15">
      <c r="A998" s="3"/>
      <c r="B998" s="4"/>
    </row>
    <row r="999" spans="1:2" ht="13" x14ac:dyDescent="0.15">
      <c r="A999" s="3"/>
      <c r="B999" s="4"/>
    </row>
    <row r="1000" spans="1:2" ht="13" x14ac:dyDescent="0.15">
      <c r="A1000" s="3"/>
      <c r="B1000" s="4"/>
    </row>
  </sheetData>
  <dataValidations count="1">
    <dataValidation type="list" allowBlank="1" showDropDown="1" sqref="B2:B1000" xr:uid="{00000000-0002-0000-0000-000000000000}">
      <formula1>LijstBekendeLiederen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95"/>
  <sheetViews>
    <sheetView showGridLines="0" workbookViewId="0"/>
  </sheetViews>
  <sheetFormatPr baseColWidth="10" defaultColWidth="12.6640625" defaultRowHeight="15.75" customHeight="1" x14ac:dyDescent="0.15"/>
  <cols>
    <col min="1" max="1" width="46.83203125" customWidth="1"/>
  </cols>
  <sheetData>
    <row r="1" spans="1:17" ht="15.75" customHeight="1" x14ac:dyDescent="0.15">
      <c r="A1" s="4" t="s">
        <v>245</v>
      </c>
      <c r="B1" s="3">
        <v>45837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15.75" customHeight="1" x14ac:dyDescent="0.15">
      <c r="A2" s="4" t="s">
        <v>3</v>
      </c>
      <c r="B2" s="3">
        <v>45739</v>
      </c>
      <c r="C2" s="3">
        <v>45746</v>
      </c>
      <c r="D2" s="3">
        <v>45753</v>
      </c>
      <c r="E2" s="3">
        <v>45760</v>
      </c>
      <c r="F2" s="3">
        <v>45767</v>
      </c>
      <c r="G2" s="3">
        <v>45774</v>
      </c>
      <c r="H2" s="3">
        <v>45781</v>
      </c>
      <c r="I2" s="3">
        <v>45788</v>
      </c>
      <c r="J2" s="3">
        <v>45795</v>
      </c>
      <c r="K2" s="3">
        <v>45802</v>
      </c>
      <c r="L2" s="3">
        <v>45809</v>
      </c>
      <c r="M2" s="3">
        <v>45816</v>
      </c>
      <c r="N2" s="3">
        <v>45823</v>
      </c>
      <c r="O2" s="3">
        <v>45830</v>
      </c>
      <c r="P2" s="3">
        <v>45837</v>
      </c>
      <c r="Q2" s="4" t="s">
        <v>256</v>
      </c>
    </row>
    <row r="3" spans="1:17" ht="15.75" customHeight="1" x14ac:dyDescent="0.15">
      <c r="A3" s="4" t="s">
        <v>195</v>
      </c>
      <c r="B3" s="4" t="s">
        <v>1413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 t="s">
        <v>1413</v>
      </c>
    </row>
    <row r="4" spans="1:17" ht="15.75" customHeight="1" x14ac:dyDescent="0.15">
      <c r="A4" s="4" t="s">
        <v>36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 t="s">
        <v>1413</v>
      </c>
      <c r="N4" s="4"/>
      <c r="O4" s="4"/>
      <c r="P4" s="4"/>
      <c r="Q4" s="4" t="s">
        <v>1413</v>
      </c>
    </row>
    <row r="5" spans="1:17" ht="15.75" customHeight="1" x14ac:dyDescent="0.15">
      <c r="A5" s="4" t="s">
        <v>19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 t="s">
        <v>1413</v>
      </c>
      <c r="P5" s="4"/>
      <c r="Q5" s="4" t="s">
        <v>1413</v>
      </c>
    </row>
    <row r="6" spans="1:17" ht="15.75" customHeight="1" x14ac:dyDescent="0.15">
      <c r="A6" s="4" t="s">
        <v>109</v>
      </c>
      <c r="B6" s="4"/>
      <c r="C6" s="4"/>
      <c r="D6" s="4"/>
      <c r="E6" s="4"/>
      <c r="F6" s="4"/>
      <c r="G6" s="4"/>
      <c r="H6" s="4" t="s">
        <v>1413</v>
      </c>
      <c r="I6" s="4"/>
      <c r="J6" s="4"/>
      <c r="K6" s="4"/>
      <c r="L6" s="4"/>
      <c r="M6" s="4"/>
      <c r="N6" s="4"/>
      <c r="O6" s="4"/>
      <c r="P6" s="4"/>
      <c r="Q6" s="4" t="s">
        <v>1413</v>
      </c>
    </row>
    <row r="7" spans="1:17" ht="15.75" customHeight="1" x14ac:dyDescent="0.15">
      <c r="A7" s="4" t="s">
        <v>20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 t="s">
        <v>1413</v>
      </c>
      <c r="P7" s="4"/>
      <c r="Q7" s="4" t="s">
        <v>1413</v>
      </c>
    </row>
    <row r="8" spans="1:17" ht="15.75" customHeight="1" x14ac:dyDescent="0.15">
      <c r="A8" s="4" t="s">
        <v>38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 t="s">
        <v>1413</v>
      </c>
      <c r="N8" s="4"/>
      <c r="O8" s="4"/>
      <c r="P8" s="4"/>
      <c r="Q8" s="4" t="s">
        <v>1413</v>
      </c>
    </row>
    <row r="9" spans="1:17" ht="15.75" customHeight="1" x14ac:dyDescent="0.15">
      <c r="A9" s="4" t="s">
        <v>140</v>
      </c>
      <c r="B9" s="4"/>
      <c r="C9" s="4"/>
      <c r="D9" s="4"/>
      <c r="E9" s="4"/>
      <c r="F9" s="4" t="s">
        <v>1413</v>
      </c>
      <c r="G9" s="4"/>
      <c r="H9" s="4"/>
      <c r="I9" s="4"/>
      <c r="J9" s="4"/>
      <c r="K9" s="4"/>
      <c r="L9" s="4"/>
      <c r="M9" s="4"/>
      <c r="N9" s="4"/>
      <c r="O9" s="4"/>
      <c r="P9" s="4"/>
      <c r="Q9" s="4" t="s">
        <v>1413</v>
      </c>
    </row>
    <row r="10" spans="1:17" ht="15.75" customHeight="1" x14ac:dyDescent="0.15">
      <c r="A10" s="4" t="s">
        <v>99</v>
      </c>
      <c r="B10" s="4"/>
      <c r="C10" s="4"/>
      <c r="D10" s="4"/>
      <c r="E10" s="4"/>
      <c r="F10" s="4"/>
      <c r="G10" s="4"/>
      <c r="H10" s="4"/>
      <c r="I10" s="4" t="s">
        <v>1413</v>
      </c>
      <c r="J10" s="4"/>
      <c r="K10" s="4"/>
      <c r="L10" s="4"/>
      <c r="M10" s="4"/>
      <c r="N10" s="4"/>
      <c r="O10" s="4"/>
      <c r="P10" s="4"/>
      <c r="Q10" s="4" t="s">
        <v>1413</v>
      </c>
    </row>
    <row r="11" spans="1:17" ht="15.75" customHeight="1" x14ac:dyDescent="0.15">
      <c r="A11" s="4" t="s">
        <v>45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 t="s">
        <v>1413</v>
      </c>
      <c r="N11" s="4"/>
      <c r="O11" s="4"/>
      <c r="P11" s="4"/>
      <c r="Q11" s="4" t="s">
        <v>1413</v>
      </c>
    </row>
    <row r="12" spans="1:17" ht="15.75" customHeight="1" x14ac:dyDescent="0.15">
      <c r="A12" s="4" t="s">
        <v>171</v>
      </c>
      <c r="B12" s="4"/>
      <c r="C12" s="4"/>
      <c r="D12" s="4" t="s">
        <v>1413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 t="s">
        <v>1413</v>
      </c>
    </row>
    <row r="13" spans="1:17" ht="15.75" customHeight="1" x14ac:dyDescent="0.15">
      <c r="A13" s="4" t="s">
        <v>183</v>
      </c>
      <c r="B13" s="4"/>
      <c r="C13" s="4" t="s">
        <v>1413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 t="s">
        <v>1413</v>
      </c>
    </row>
    <row r="14" spans="1:17" ht="15.75" customHeight="1" x14ac:dyDescent="0.15">
      <c r="A14" s="4" t="s">
        <v>155</v>
      </c>
      <c r="B14" s="4"/>
      <c r="C14" s="4"/>
      <c r="D14" s="4"/>
      <c r="E14" s="4" t="s">
        <v>1413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 t="s">
        <v>1413</v>
      </c>
    </row>
    <row r="15" spans="1:17" ht="15.75" customHeight="1" x14ac:dyDescent="0.15">
      <c r="A15" s="4" t="s">
        <v>26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 t="s">
        <v>1413</v>
      </c>
      <c r="P15" s="4"/>
      <c r="Q15" s="4" t="s">
        <v>1413</v>
      </c>
    </row>
    <row r="16" spans="1:17" ht="15.75" customHeight="1" x14ac:dyDescent="0.15">
      <c r="A16" s="4" t="s">
        <v>18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 t="s">
        <v>1413</v>
      </c>
      <c r="P16" s="4"/>
      <c r="Q16" s="4" t="s">
        <v>1413</v>
      </c>
    </row>
    <row r="17" spans="1:17" ht="15.75" customHeight="1" x14ac:dyDescent="0.15">
      <c r="A17" s="4" t="s">
        <v>22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 t="s">
        <v>1413</v>
      </c>
      <c r="P17" s="4"/>
      <c r="Q17" s="4" t="s">
        <v>1413</v>
      </c>
    </row>
    <row r="18" spans="1:17" ht="15.75" customHeight="1" x14ac:dyDescent="0.15">
      <c r="A18" s="4" t="s">
        <v>40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 t="s">
        <v>1413</v>
      </c>
      <c r="N18" s="4"/>
      <c r="O18" s="4"/>
      <c r="P18" s="4"/>
      <c r="Q18" s="4" t="s">
        <v>1413</v>
      </c>
    </row>
    <row r="19" spans="1:17" ht="15.75" customHeight="1" x14ac:dyDescent="0.15">
      <c r="A19" s="4" t="s">
        <v>28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 t="s">
        <v>1413</v>
      </c>
      <c r="P19" s="4"/>
      <c r="Q19" s="4" t="s">
        <v>1413</v>
      </c>
    </row>
    <row r="20" spans="1:17" ht="15.75" customHeight="1" x14ac:dyDescent="0.15">
      <c r="A20" s="4" t="s">
        <v>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 t="s">
        <v>1413</v>
      </c>
      <c r="Q20" s="4" t="s">
        <v>1413</v>
      </c>
    </row>
    <row r="21" spans="1:17" ht="15.75" customHeight="1" x14ac:dyDescent="0.15">
      <c r="A21" s="4" t="s">
        <v>10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 t="s">
        <v>1413</v>
      </c>
      <c r="O21" s="4"/>
      <c r="P21" s="4"/>
      <c r="Q21" s="4" t="s">
        <v>1413</v>
      </c>
    </row>
    <row r="22" spans="1:17" ht="15.75" customHeight="1" x14ac:dyDescent="0.15">
      <c r="A22" s="4" t="s">
        <v>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 t="s">
        <v>1413</v>
      </c>
      <c r="Q22" s="4" t="s">
        <v>1413</v>
      </c>
    </row>
    <row r="23" spans="1:17" ht="15.75" customHeight="1" x14ac:dyDescent="0.15">
      <c r="A23" s="4" t="s">
        <v>113</v>
      </c>
      <c r="B23" s="4"/>
      <c r="C23" s="4"/>
      <c r="D23" s="4"/>
      <c r="E23" s="4"/>
      <c r="F23" s="4"/>
      <c r="G23" s="4"/>
      <c r="H23" s="4" t="s">
        <v>1413</v>
      </c>
      <c r="I23" s="4"/>
      <c r="J23" s="4"/>
      <c r="K23" s="4"/>
      <c r="L23" s="4"/>
      <c r="M23" s="4"/>
      <c r="N23" s="4"/>
      <c r="O23" s="4"/>
      <c r="P23" s="4"/>
      <c r="Q23" s="4" t="s">
        <v>1413</v>
      </c>
    </row>
    <row r="24" spans="1:17" ht="15.75" customHeight="1" x14ac:dyDescent="0.15">
      <c r="A24" s="4" t="s">
        <v>150</v>
      </c>
      <c r="B24" s="4"/>
      <c r="C24" s="4"/>
      <c r="D24" s="4"/>
      <c r="E24" s="4" t="s">
        <v>1413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 t="s">
        <v>1413</v>
      </c>
    </row>
    <row r="25" spans="1:17" ht="15.75" customHeight="1" x14ac:dyDescent="0.15">
      <c r="A25" s="4" t="s">
        <v>88</v>
      </c>
      <c r="B25" s="4"/>
      <c r="C25" s="4"/>
      <c r="D25" s="4"/>
      <c r="E25" s="4"/>
      <c r="F25" s="4"/>
      <c r="G25" s="4"/>
      <c r="H25" s="4"/>
      <c r="I25" s="4" t="s">
        <v>1413</v>
      </c>
      <c r="J25" s="4"/>
      <c r="K25" s="4"/>
      <c r="L25" s="4"/>
      <c r="M25" s="4"/>
      <c r="N25" s="4"/>
      <c r="O25" s="4"/>
      <c r="P25" s="4"/>
      <c r="Q25" s="4" t="s">
        <v>1413</v>
      </c>
    </row>
    <row r="26" spans="1:17" ht="15.75" customHeight="1" x14ac:dyDescent="0.15">
      <c r="A26" s="4" t="s">
        <v>86</v>
      </c>
      <c r="B26" s="4" t="s">
        <v>1413</v>
      </c>
      <c r="C26" s="4"/>
      <c r="D26" s="4"/>
      <c r="E26" s="4"/>
      <c r="F26" s="4"/>
      <c r="G26" s="4"/>
      <c r="H26" s="4"/>
      <c r="I26" s="4" t="s">
        <v>1413</v>
      </c>
      <c r="J26" s="4"/>
      <c r="K26" s="4"/>
      <c r="L26" s="4"/>
      <c r="M26" s="4"/>
      <c r="N26" s="4"/>
      <c r="O26" s="4"/>
      <c r="P26" s="4"/>
      <c r="Q26" s="4" t="s">
        <v>1413</v>
      </c>
    </row>
    <row r="27" spans="1:17" ht="15.75" customHeight="1" x14ac:dyDescent="0.15">
      <c r="A27" s="4" t="s">
        <v>21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 t="s">
        <v>1413</v>
      </c>
      <c r="P27" s="4"/>
      <c r="Q27" s="4" t="s">
        <v>1413</v>
      </c>
    </row>
    <row r="28" spans="1:17" ht="15.75" customHeight="1" x14ac:dyDescent="0.15">
      <c r="A28" s="4" t="s">
        <v>17</v>
      </c>
      <c r="B28" s="4"/>
      <c r="C28" s="4"/>
      <c r="D28" s="4"/>
      <c r="E28" s="4"/>
      <c r="F28" s="4"/>
      <c r="G28" s="4"/>
      <c r="H28" s="4"/>
      <c r="I28" s="4" t="s">
        <v>1413</v>
      </c>
      <c r="J28" s="4"/>
      <c r="K28" s="4"/>
      <c r="L28" s="4"/>
      <c r="M28" s="4"/>
      <c r="N28" s="4" t="s">
        <v>1413</v>
      </c>
      <c r="O28" s="4"/>
      <c r="P28" s="4"/>
      <c r="Q28" s="4" t="s">
        <v>1413</v>
      </c>
    </row>
    <row r="29" spans="1:17" ht="15.75" customHeight="1" x14ac:dyDescent="0.15">
      <c r="A29" s="4" t="s">
        <v>42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 t="s">
        <v>1413</v>
      </c>
      <c r="N29" s="4"/>
      <c r="O29" s="4"/>
      <c r="P29" s="4"/>
      <c r="Q29" s="4" t="s">
        <v>1413</v>
      </c>
    </row>
    <row r="30" spans="1:17" ht="15.75" customHeight="1" x14ac:dyDescent="0.15">
      <c r="A30" s="4" t="s">
        <v>131</v>
      </c>
      <c r="B30" s="4"/>
      <c r="C30" s="4"/>
      <c r="D30" s="4"/>
      <c r="E30" s="4"/>
      <c r="F30" s="4" t="s">
        <v>1413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 t="s">
        <v>1413</v>
      </c>
    </row>
    <row r="31" spans="1:17" ht="15.75" customHeight="1" x14ac:dyDescent="0.15">
      <c r="A31" s="4" t="s">
        <v>111</v>
      </c>
      <c r="B31" s="4"/>
      <c r="C31" s="4"/>
      <c r="D31" s="4"/>
      <c r="E31" s="4"/>
      <c r="F31" s="4"/>
      <c r="G31" s="4"/>
      <c r="H31" s="4" t="s">
        <v>1413</v>
      </c>
      <c r="I31" s="4"/>
      <c r="J31" s="4"/>
      <c r="K31" s="4"/>
      <c r="L31" s="4"/>
      <c r="M31" s="4"/>
      <c r="N31" s="4"/>
      <c r="O31" s="4"/>
      <c r="P31" s="4"/>
      <c r="Q31" s="4" t="s">
        <v>1413</v>
      </c>
    </row>
    <row r="32" spans="1:17" ht="15.75" customHeight="1" x14ac:dyDescent="0.15">
      <c r="A32" s="4" t="s">
        <v>46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 t="s">
        <v>1413</v>
      </c>
      <c r="M32" s="4"/>
      <c r="N32" s="4"/>
      <c r="O32" s="4"/>
      <c r="P32" s="4"/>
      <c r="Q32" s="4" t="s">
        <v>1413</v>
      </c>
    </row>
    <row r="33" spans="1:17" ht="15.75" customHeight="1" x14ac:dyDescent="0.15">
      <c r="A33" s="4" t="s">
        <v>152</v>
      </c>
      <c r="B33" s="4"/>
      <c r="C33" s="4"/>
      <c r="D33" s="4"/>
      <c r="E33" s="4" t="s">
        <v>1413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 t="s">
        <v>1413</v>
      </c>
    </row>
    <row r="34" spans="1:17" ht="15.75" customHeight="1" x14ac:dyDescent="0.15">
      <c r="A34" s="4" t="s">
        <v>116</v>
      </c>
      <c r="B34" s="4"/>
      <c r="C34" s="4"/>
      <c r="D34" s="4"/>
      <c r="E34" s="4"/>
      <c r="F34" s="4"/>
      <c r="G34" s="4" t="s">
        <v>1413</v>
      </c>
      <c r="H34" s="4"/>
      <c r="I34" s="4"/>
      <c r="J34" s="4"/>
      <c r="K34" s="4"/>
      <c r="L34" s="4"/>
      <c r="M34" s="4"/>
      <c r="N34" s="4"/>
      <c r="O34" s="4"/>
      <c r="P34" s="4"/>
      <c r="Q34" s="4" t="s">
        <v>1413</v>
      </c>
    </row>
    <row r="35" spans="1:17" ht="15.75" customHeight="1" x14ac:dyDescent="0.15">
      <c r="A35" s="4" t="s">
        <v>138</v>
      </c>
      <c r="B35" s="4"/>
      <c r="C35" s="4"/>
      <c r="D35" s="4"/>
      <c r="E35" s="4"/>
      <c r="F35" s="4" t="s">
        <v>1413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 t="s">
        <v>1413</v>
      </c>
    </row>
    <row r="36" spans="1:17" ht="15.75" customHeight="1" x14ac:dyDescent="0.15">
      <c r="A36" s="4" t="s">
        <v>82</v>
      </c>
      <c r="B36" s="4"/>
      <c r="C36" s="4"/>
      <c r="D36" s="4"/>
      <c r="E36" s="4"/>
      <c r="F36" s="4"/>
      <c r="G36" s="4"/>
      <c r="H36" s="4"/>
      <c r="I36" s="4"/>
      <c r="J36" s="4" t="s">
        <v>1413</v>
      </c>
      <c r="K36" s="4"/>
      <c r="L36" s="4"/>
      <c r="M36" s="4"/>
      <c r="N36" s="4"/>
      <c r="O36" s="4"/>
      <c r="P36" s="4"/>
      <c r="Q36" s="4" t="s">
        <v>1413</v>
      </c>
    </row>
    <row r="37" spans="1:17" ht="15.75" customHeight="1" x14ac:dyDescent="0.15">
      <c r="A37" s="4" t="s">
        <v>32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 t="s">
        <v>1413</v>
      </c>
      <c r="N37" s="4"/>
      <c r="O37" s="4"/>
      <c r="P37" s="4"/>
      <c r="Q37" s="4" t="s">
        <v>1413</v>
      </c>
    </row>
    <row r="38" spans="1:17" ht="15.75" customHeight="1" x14ac:dyDescent="0.15">
      <c r="A38" s="4" t="s">
        <v>187</v>
      </c>
      <c r="B38" s="4" t="s">
        <v>1413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 t="s">
        <v>1413</v>
      </c>
    </row>
    <row r="39" spans="1:17" ht="15.75" customHeight="1" x14ac:dyDescent="0.15">
      <c r="A39" s="4" t="s">
        <v>30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 t="s">
        <v>1413</v>
      </c>
      <c r="N39" s="4"/>
      <c r="O39" s="4"/>
      <c r="P39" s="4"/>
      <c r="Q39" s="4" t="s">
        <v>1413</v>
      </c>
    </row>
    <row r="40" spans="1:17" ht="15.75" customHeight="1" x14ac:dyDescent="0.15">
      <c r="A40" s="4" t="s">
        <v>157</v>
      </c>
      <c r="B40" s="4"/>
      <c r="C40" s="4"/>
      <c r="D40" s="4"/>
      <c r="E40" s="4" t="s">
        <v>1413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 t="s">
        <v>1413</v>
      </c>
    </row>
    <row r="41" spans="1:17" ht="15.75" customHeight="1" x14ac:dyDescent="0.15">
      <c r="A41" s="4" t="s">
        <v>35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 t="s">
        <v>1413</v>
      </c>
      <c r="N41" s="4"/>
      <c r="O41" s="4"/>
      <c r="P41" s="4"/>
      <c r="Q41" s="4" t="s">
        <v>1413</v>
      </c>
    </row>
    <row r="42" spans="1:17" ht="15.75" customHeight="1" x14ac:dyDescent="0.15">
      <c r="A42" s="4" t="s">
        <v>189</v>
      </c>
      <c r="B42" s="4" t="s">
        <v>1413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 t="s">
        <v>1413</v>
      </c>
    </row>
    <row r="43" spans="1:17" ht="15.75" customHeight="1" x14ac:dyDescent="0.15">
      <c r="A43" s="4" t="s">
        <v>101</v>
      </c>
      <c r="B43" s="4"/>
      <c r="C43" s="4"/>
      <c r="D43" s="4"/>
      <c r="E43" s="4"/>
      <c r="F43" s="4"/>
      <c r="G43" s="4"/>
      <c r="H43" s="4" t="s">
        <v>1413</v>
      </c>
      <c r="I43" s="4"/>
      <c r="J43" s="4"/>
      <c r="K43" s="4"/>
      <c r="L43" s="4"/>
      <c r="M43" s="4"/>
      <c r="N43" s="4"/>
      <c r="O43" s="4"/>
      <c r="P43" s="4"/>
      <c r="Q43" s="4" t="s">
        <v>1413</v>
      </c>
    </row>
    <row r="44" spans="1:17" ht="15.75" customHeight="1" x14ac:dyDescent="0.15">
      <c r="A44" s="4" t="s">
        <v>73</v>
      </c>
      <c r="B44" s="4"/>
      <c r="C44" s="4"/>
      <c r="D44" s="4"/>
      <c r="E44" s="4"/>
      <c r="F44" s="4"/>
      <c r="G44" s="4"/>
      <c r="H44" s="4"/>
      <c r="I44" s="4"/>
      <c r="J44" s="4" t="s">
        <v>1413</v>
      </c>
      <c r="K44" s="4"/>
      <c r="L44" s="4"/>
      <c r="M44" s="4"/>
      <c r="N44" s="4"/>
      <c r="O44" s="4"/>
      <c r="P44" s="4"/>
      <c r="Q44" s="4" t="s">
        <v>1413</v>
      </c>
    </row>
    <row r="45" spans="1:17" ht="15.75" customHeight="1" x14ac:dyDescent="0.15">
      <c r="A45" s="4" t="s">
        <v>191</v>
      </c>
      <c r="B45" s="4" t="s">
        <v>1413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 t="s">
        <v>1413</v>
      </c>
    </row>
    <row r="46" spans="1:17" ht="15.75" customHeight="1" x14ac:dyDescent="0.15">
      <c r="A46" s="4" t="s">
        <v>13</v>
      </c>
      <c r="B46" s="4"/>
      <c r="C46" s="4"/>
      <c r="D46" s="4"/>
      <c r="E46" s="4"/>
      <c r="F46" s="4"/>
      <c r="G46" s="4"/>
      <c r="H46" s="4"/>
      <c r="I46" s="4"/>
      <c r="J46" s="4" t="s">
        <v>1413</v>
      </c>
      <c r="K46" s="4"/>
      <c r="L46" s="4" t="s">
        <v>1413</v>
      </c>
      <c r="M46" s="4"/>
      <c r="N46" s="4" t="s">
        <v>1413</v>
      </c>
      <c r="O46" s="4"/>
      <c r="P46" s="4"/>
      <c r="Q46" s="4" t="s">
        <v>1413</v>
      </c>
    </row>
    <row r="47" spans="1:17" ht="15.75" customHeight="1" x14ac:dyDescent="0.15">
      <c r="A47" s="4" t="s">
        <v>58</v>
      </c>
      <c r="B47" s="4"/>
      <c r="C47" s="4"/>
      <c r="D47" s="4"/>
      <c r="E47" s="4"/>
      <c r="F47" s="4"/>
      <c r="G47" s="4" t="s">
        <v>1413</v>
      </c>
      <c r="H47" s="4"/>
      <c r="I47" s="4"/>
      <c r="J47" s="4"/>
      <c r="K47" s="4" t="s">
        <v>1413</v>
      </c>
      <c r="L47" s="4"/>
      <c r="M47" s="4"/>
      <c r="N47" s="4"/>
      <c r="O47" s="4"/>
      <c r="P47" s="4"/>
      <c r="Q47" s="4" t="s">
        <v>1413</v>
      </c>
    </row>
    <row r="48" spans="1:17" ht="15.75" customHeight="1" x14ac:dyDescent="0.15">
      <c r="A48" s="4" t="s">
        <v>92</v>
      </c>
      <c r="B48" s="4"/>
      <c r="C48" s="4"/>
      <c r="D48" s="4"/>
      <c r="E48" s="4"/>
      <c r="F48" s="4"/>
      <c r="G48" s="4" t="s">
        <v>1413</v>
      </c>
      <c r="H48" s="4"/>
      <c r="I48" s="4" t="s">
        <v>1413</v>
      </c>
      <c r="J48" s="4"/>
      <c r="K48" s="4"/>
      <c r="L48" s="4"/>
      <c r="M48" s="4"/>
      <c r="N48" s="4"/>
      <c r="O48" s="4"/>
      <c r="P48" s="4"/>
      <c r="Q48" s="4" t="s">
        <v>1413</v>
      </c>
    </row>
    <row r="49" spans="1:17" ht="15.75" customHeight="1" x14ac:dyDescent="0.15">
      <c r="A49" s="4" t="s">
        <v>121</v>
      </c>
      <c r="B49" s="4"/>
      <c r="C49" s="4"/>
      <c r="D49" s="4"/>
      <c r="E49" s="4"/>
      <c r="F49" s="4"/>
      <c r="G49" s="4" t="s">
        <v>1413</v>
      </c>
      <c r="H49" s="4"/>
      <c r="I49" s="4"/>
      <c r="J49" s="4"/>
      <c r="K49" s="4"/>
      <c r="L49" s="4"/>
      <c r="M49" s="4"/>
      <c r="N49" s="4"/>
      <c r="O49" s="4"/>
      <c r="P49" s="4"/>
      <c r="Q49" s="4" t="s">
        <v>1413</v>
      </c>
    </row>
    <row r="50" spans="1:17" ht="15.75" customHeight="1" x14ac:dyDescent="0.15">
      <c r="A50" s="4" t="s">
        <v>123</v>
      </c>
      <c r="B50" s="4"/>
      <c r="C50" s="4"/>
      <c r="D50" s="4"/>
      <c r="E50" s="4"/>
      <c r="F50" s="4"/>
      <c r="G50" s="4" t="s">
        <v>1413</v>
      </c>
      <c r="H50" s="4"/>
      <c r="I50" s="4"/>
      <c r="J50" s="4"/>
      <c r="K50" s="4"/>
      <c r="L50" s="4"/>
      <c r="M50" s="4"/>
      <c r="N50" s="4"/>
      <c r="O50" s="4"/>
      <c r="P50" s="4"/>
      <c r="Q50" s="4" t="s">
        <v>1413</v>
      </c>
    </row>
    <row r="51" spans="1:17" ht="15.75" customHeight="1" x14ac:dyDescent="0.15">
      <c r="A51" s="4" t="s">
        <v>169</v>
      </c>
      <c r="B51" s="4"/>
      <c r="C51" s="4"/>
      <c r="D51" s="4" t="s">
        <v>1413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 t="s">
        <v>1413</v>
      </c>
    </row>
    <row r="52" spans="1:17" ht="15.75" customHeight="1" x14ac:dyDescent="0.15">
      <c r="A52" s="4" t="s">
        <v>14</v>
      </c>
      <c r="B52" s="4"/>
      <c r="C52" s="4"/>
      <c r="D52" s="4"/>
      <c r="E52" s="4"/>
      <c r="F52" s="4"/>
      <c r="G52" s="4"/>
      <c r="H52" s="4"/>
      <c r="I52" s="4" t="s">
        <v>1413</v>
      </c>
      <c r="J52" s="4"/>
      <c r="K52" s="4"/>
      <c r="L52" s="4"/>
      <c r="M52" s="4"/>
      <c r="N52" s="4" t="s">
        <v>1413</v>
      </c>
      <c r="O52" s="4"/>
      <c r="P52" s="4"/>
      <c r="Q52" s="4" t="s">
        <v>1413</v>
      </c>
    </row>
    <row r="53" spans="1:17" ht="15.75" customHeight="1" x14ac:dyDescent="0.15">
      <c r="A53" s="4" t="s">
        <v>182</v>
      </c>
      <c r="B53" s="4"/>
      <c r="C53" s="4" t="s">
        <v>1413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 t="s">
        <v>1413</v>
      </c>
    </row>
    <row r="54" spans="1:17" ht="15.75" customHeight="1" x14ac:dyDescent="0.15">
      <c r="A54" s="4" t="s">
        <v>163</v>
      </c>
      <c r="B54" s="4"/>
      <c r="C54" s="4"/>
      <c r="D54" s="4" t="s">
        <v>1413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 t="s">
        <v>1413</v>
      </c>
    </row>
    <row r="55" spans="1:17" ht="13" x14ac:dyDescent="0.15">
      <c r="A55" s="4" t="s">
        <v>56</v>
      </c>
      <c r="B55" s="4"/>
      <c r="C55" s="4"/>
      <c r="D55" s="4"/>
      <c r="E55" s="4"/>
      <c r="F55" s="4"/>
      <c r="G55" s="4"/>
      <c r="H55" s="4"/>
      <c r="I55" s="4"/>
      <c r="J55" s="4"/>
      <c r="K55" s="4" t="s">
        <v>1413</v>
      </c>
      <c r="L55" s="4"/>
      <c r="M55" s="4"/>
      <c r="N55" s="4"/>
      <c r="O55" s="4"/>
      <c r="P55" s="4"/>
      <c r="Q55" s="4" t="s">
        <v>1413</v>
      </c>
    </row>
    <row r="56" spans="1:17" ht="13" x14ac:dyDescent="0.15">
      <c r="A56" s="4" t="s">
        <v>50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 t="s">
        <v>1413</v>
      </c>
      <c r="M56" s="4"/>
      <c r="N56" s="4"/>
      <c r="O56" s="4"/>
      <c r="P56" s="4"/>
      <c r="Q56" s="4" t="s">
        <v>1413</v>
      </c>
    </row>
    <row r="57" spans="1:17" ht="13" x14ac:dyDescent="0.15">
      <c r="A57" s="4" t="s">
        <v>126</v>
      </c>
      <c r="B57" s="4"/>
      <c r="C57" s="4"/>
      <c r="D57" s="4"/>
      <c r="E57" s="4"/>
      <c r="F57" s="4"/>
      <c r="G57" s="4" t="s">
        <v>1413</v>
      </c>
      <c r="H57" s="4"/>
      <c r="I57" s="4"/>
      <c r="J57" s="4"/>
      <c r="K57" s="4"/>
      <c r="L57" s="4"/>
      <c r="M57" s="4"/>
      <c r="N57" s="4"/>
      <c r="O57" s="4"/>
      <c r="P57" s="4"/>
      <c r="Q57" s="4" t="s">
        <v>1413</v>
      </c>
    </row>
    <row r="58" spans="1:17" ht="13" x14ac:dyDescent="0.15">
      <c r="A58" s="4" t="s">
        <v>147</v>
      </c>
      <c r="B58" s="4"/>
      <c r="C58" s="4"/>
      <c r="D58" s="4"/>
      <c r="E58" s="4" t="s">
        <v>1413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 t="s">
        <v>1413</v>
      </c>
    </row>
    <row r="59" spans="1:17" ht="13" x14ac:dyDescent="0.15">
      <c r="A59" s="4" t="s">
        <v>84</v>
      </c>
      <c r="B59" s="4"/>
      <c r="C59" s="4"/>
      <c r="D59" s="4"/>
      <c r="E59" s="4"/>
      <c r="F59" s="4"/>
      <c r="G59" s="4"/>
      <c r="H59" s="4"/>
      <c r="I59" s="4" t="s">
        <v>1413</v>
      </c>
      <c r="J59" s="4"/>
      <c r="K59" s="4"/>
      <c r="L59" s="4"/>
      <c r="M59" s="4"/>
      <c r="N59" s="4"/>
      <c r="O59" s="4"/>
      <c r="P59" s="4"/>
      <c r="Q59" s="4" t="s">
        <v>1413</v>
      </c>
    </row>
    <row r="60" spans="1:17" ht="13" x14ac:dyDescent="0.15">
      <c r="A60" s="4" t="s">
        <v>23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 t="s">
        <v>1413</v>
      </c>
      <c r="P60" s="4"/>
      <c r="Q60" s="4" t="s">
        <v>1413</v>
      </c>
    </row>
    <row r="61" spans="1:17" ht="13" x14ac:dyDescent="0.15">
      <c r="A61" s="4" t="s">
        <v>79</v>
      </c>
      <c r="B61" s="4"/>
      <c r="C61" s="4"/>
      <c r="D61" s="4"/>
      <c r="E61" s="4"/>
      <c r="F61" s="4"/>
      <c r="G61" s="4"/>
      <c r="H61" s="4"/>
      <c r="I61" s="4"/>
      <c r="J61" s="4" t="s">
        <v>1413</v>
      </c>
      <c r="K61" s="4"/>
      <c r="L61" s="4"/>
      <c r="M61" s="4"/>
      <c r="N61" s="4"/>
      <c r="O61" s="4"/>
      <c r="P61" s="4"/>
      <c r="Q61" s="4" t="s">
        <v>1413</v>
      </c>
    </row>
    <row r="62" spans="1:17" ht="13" x14ac:dyDescent="0.15">
      <c r="A62" s="4" t="s">
        <v>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 t="s">
        <v>1413</v>
      </c>
      <c r="Q62" s="4" t="s">
        <v>1413</v>
      </c>
    </row>
    <row r="63" spans="1:17" ht="13" x14ac:dyDescent="0.15">
      <c r="A63" s="4" t="s">
        <v>136</v>
      </c>
      <c r="B63" s="4"/>
      <c r="C63" s="4"/>
      <c r="D63" s="4"/>
      <c r="E63" s="4"/>
      <c r="F63" s="4" t="s">
        <v>1413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 t="s">
        <v>1413</v>
      </c>
    </row>
    <row r="64" spans="1:17" ht="13" x14ac:dyDescent="0.15">
      <c r="A64" s="4" t="s">
        <v>178</v>
      </c>
      <c r="B64" s="4"/>
      <c r="C64" s="4" t="s">
        <v>1413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 t="s">
        <v>1413</v>
      </c>
    </row>
    <row r="65" spans="1:17" ht="13" x14ac:dyDescent="0.15">
      <c r="A65" s="4" t="s">
        <v>51</v>
      </c>
      <c r="B65" s="4"/>
      <c r="C65" s="4"/>
      <c r="D65" s="4"/>
      <c r="E65" s="4"/>
      <c r="F65" s="4"/>
      <c r="G65" s="4"/>
      <c r="H65" s="4"/>
      <c r="I65" s="4"/>
      <c r="J65" s="4" t="s">
        <v>1413</v>
      </c>
      <c r="K65" s="4" t="s">
        <v>1413</v>
      </c>
      <c r="L65" s="4"/>
      <c r="M65" s="4"/>
      <c r="N65" s="4"/>
      <c r="O65" s="4"/>
      <c r="P65" s="4"/>
      <c r="Q65" s="4" t="s">
        <v>1413</v>
      </c>
    </row>
    <row r="66" spans="1:17" ht="13" x14ac:dyDescent="0.15">
      <c r="A66" s="4" t="s">
        <v>145</v>
      </c>
      <c r="B66" s="4"/>
      <c r="C66" s="4"/>
      <c r="D66" s="4"/>
      <c r="E66" s="4"/>
      <c r="F66" s="4" t="s">
        <v>1413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 t="s">
        <v>1413</v>
      </c>
    </row>
    <row r="67" spans="1:17" ht="13" x14ac:dyDescent="0.15">
      <c r="A67" s="4" t="s">
        <v>176</v>
      </c>
      <c r="B67" s="4"/>
      <c r="C67" s="4"/>
      <c r="D67" s="4" t="s">
        <v>1413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 t="s">
        <v>1413</v>
      </c>
    </row>
    <row r="68" spans="1:17" ht="13" x14ac:dyDescent="0.15">
      <c r="A68" s="4" t="s">
        <v>61</v>
      </c>
      <c r="B68" s="4"/>
      <c r="C68" s="4"/>
      <c r="D68" s="4" t="s">
        <v>1413</v>
      </c>
      <c r="E68" s="4"/>
      <c r="F68" s="4"/>
      <c r="G68" s="4"/>
      <c r="H68" s="4"/>
      <c r="I68" s="4"/>
      <c r="J68" s="4"/>
      <c r="K68" s="4" t="s">
        <v>1413</v>
      </c>
      <c r="L68" s="4"/>
      <c r="M68" s="4"/>
      <c r="N68" s="4"/>
      <c r="O68" s="4"/>
      <c r="P68" s="4"/>
      <c r="Q68" s="4" t="s">
        <v>1413</v>
      </c>
    </row>
    <row r="69" spans="1:17" ht="13" x14ac:dyDescent="0.15">
      <c r="A69" s="4" t="s">
        <v>174</v>
      </c>
      <c r="B69" s="4"/>
      <c r="C69" s="4"/>
      <c r="D69" s="4" t="s">
        <v>1413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 t="s">
        <v>1413</v>
      </c>
    </row>
    <row r="70" spans="1:17" ht="13" x14ac:dyDescent="0.15">
      <c r="A70" s="4" t="s">
        <v>48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 t="s">
        <v>1413</v>
      </c>
      <c r="M70" s="4"/>
      <c r="N70" s="4"/>
      <c r="O70" s="4"/>
      <c r="P70" s="4"/>
      <c r="Q70" s="4" t="s">
        <v>1413</v>
      </c>
    </row>
    <row r="71" spans="1:17" ht="13" x14ac:dyDescent="0.15">
      <c r="A71" s="4" t="s">
        <v>8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 t="s">
        <v>1413</v>
      </c>
      <c r="Q71" s="4" t="s">
        <v>1413</v>
      </c>
    </row>
    <row r="72" spans="1:17" ht="13" x14ac:dyDescent="0.15">
      <c r="A72" s="4" t="s">
        <v>4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 t="s">
        <v>1413</v>
      </c>
      <c r="Q72" s="4" t="s">
        <v>1413</v>
      </c>
    </row>
    <row r="73" spans="1:17" ht="13" x14ac:dyDescent="0.15">
      <c r="A73" s="4" t="s">
        <v>16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 t="s">
        <v>1413</v>
      </c>
      <c r="O73" s="4"/>
      <c r="P73" s="4"/>
      <c r="Q73" s="4" t="s">
        <v>1413</v>
      </c>
    </row>
    <row r="74" spans="1:17" ht="13" x14ac:dyDescent="0.15">
      <c r="A74" s="4" t="s">
        <v>53</v>
      </c>
      <c r="B74" s="4"/>
      <c r="C74" s="4"/>
      <c r="D74" s="4"/>
      <c r="E74" s="4"/>
      <c r="F74" s="4"/>
      <c r="G74" s="4"/>
      <c r="H74" s="4"/>
      <c r="I74" s="4"/>
      <c r="J74" s="4"/>
      <c r="K74" s="4" t="s">
        <v>1413</v>
      </c>
      <c r="L74" s="4"/>
      <c r="M74" s="4"/>
      <c r="N74" s="4"/>
      <c r="O74" s="4"/>
      <c r="P74" s="4"/>
      <c r="Q74" s="4" t="s">
        <v>1413</v>
      </c>
    </row>
    <row r="75" spans="1:17" ht="13" x14ac:dyDescent="0.15">
      <c r="A75" s="4" t="s">
        <v>165</v>
      </c>
      <c r="B75" s="4"/>
      <c r="C75" s="4"/>
      <c r="D75" s="4" t="s">
        <v>1413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 t="s">
        <v>1413</v>
      </c>
    </row>
    <row r="76" spans="1:17" ht="13" x14ac:dyDescent="0.15">
      <c r="A76" s="4" t="s">
        <v>44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 t="s">
        <v>1413</v>
      </c>
      <c r="N76" s="4"/>
      <c r="O76" s="4"/>
      <c r="P76" s="4"/>
      <c r="Q76" s="4" t="s">
        <v>1413</v>
      </c>
    </row>
    <row r="77" spans="1:17" ht="13" x14ac:dyDescent="0.15">
      <c r="A77" s="4" t="s">
        <v>103</v>
      </c>
      <c r="B77" s="4"/>
      <c r="C77" s="4"/>
      <c r="D77" s="4"/>
      <c r="E77" s="4"/>
      <c r="F77" s="4"/>
      <c r="G77" s="4"/>
      <c r="H77" s="4" t="s">
        <v>1413</v>
      </c>
      <c r="I77" s="4"/>
      <c r="J77" s="4"/>
      <c r="K77" s="4"/>
      <c r="L77" s="4"/>
      <c r="M77" s="4"/>
      <c r="N77" s="4"/>
      <c r="O77" s="4"/>
      <c r="P77" s="4"/>
      <c r="Q77" s="4" t="s">
        <v>1413</v>
      </c>
    </row>
    <row r="78" spans="1:17" ht="13" x14ac:dyDescent="0.15">
      <c r="A78" s="4" t="s">
        <v>159</v>
      </c>
      <c r="B78" s="4"/>
      <c r="C78" s="4"/>
      <c r="D78" s="4" t="s">
        <v>1413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 t="s">
        <v>1413</v>
      </c>
    </row>
    <row r="79" spans="1:17" ht="13" x14ac:dyDescent="0.15">
      <c r="A79" s="4" t="s">
        <v>180</v>
      </c>
      <c r="B79" s="4"/>
      <c r="C79" s="4" t="s">
        <v>1413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 t="s">
        <v>1413</v>
      </c>
    </row>
    <row r="80" spans="1:17" ht="13" x14ac:dyDescent="0.15">
      <c r="A80" s="4" t="s">
        <v>12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 t="s">
        <v>1413</v>
      </c>
      <c r="O80" s="4"/>
      <c r="P80" s="4"/>
      <c r="Q80" s="4" t="s">
        <v>1413</v>
      </c>
    </row>
    <row r="81" spans="1:17" ht="13" x14ac:dyDescent="0.15">
      <c r="A81" s="4" t="s">
        <v>133</v>
      </c>
      <c r="B81" s="4"/>
      <c r="C81" s="4"/>
      <c r="D81" s="4"/>
      <c r="E81" s="4"/>
      <c r="F81" s="4" t="s">
        <v>1413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 t="s">
        <v>1413</v>
      </c>
    </row>
    <row r="82" spans="1:17" ht="13" x14ac:dyDescent="0.15">
      <c r="A82" s="4" t="s">
        <v>70</v>
      </c>
      <c r="B82" s="4" t="s">
        <v>1413</v>
      </c>
      <c r="C82" s="4"/>
      <c r="D82" s="4"/>
      <c r="E82" s="4"/>
      <c r="F82" s="4"/>
      <c r="G82" s="4"/>
      <c r="H82" s="4"/>
      <c r="I82" s="4"/>
      <c r="J82" s="4"/>
      <c r="K82" s="4" t="s">
        <v>1413</v>
      </c>
      <c r="L82" s="4"/>
      <c r="M82" s="4"/>
      <c r="N82" s="4"/>
      <c r="O82" s="4"/>
      <c r="P82" s="4"/>
      <c r="Q82" s="4" t="s">
        <v>1413</v>
      </c>
    </row>
    <row r="83" spans="1:17" ht="13" x14ac:dyDescent="0.15">
      <c r="A83" s="4" t="s">
        <v>108</v>
      </c>
      <c r="B83" s="4"/>
      <c r="C83" s="4"/>
      <c r="D83" s="4"/>
      <c r="E83" s="4"/>
      <c r="F83" s="4"/>
      <c r="G83" s="4"/>
      <c r="H83" s="4" t="s">
        <v>1413</v>
      </c>
      <c r="I83" s="4"/>
      <c r="J83" s="4"/>
      <c r="K83" s="4"/>
      <c r="L83" s="4"/>
      <c r="M83" s="4"/>
      <c r="N83" s="4"/>
      <c r="O83" s="4"/>
      <c r="P83" s="4"/>
      <c r="Q83" s="4" t="s">
        <v>1413</v>
      </c>
    </row>
    <row r="84" spans="1:17" ht="13" x14ac:dyDescent="0.15">
      <c r="A84" s="4" t="s">
        <v>66</v>
      </c>
      <c r="B84" s="4"/>
      <c r="C84" s="4"/>
      <c r="D84" s="4"/>
      <c r="E84" s="4"/>
      <c r="F84" s="4"/>
      <c r="G84" s="4"/>
      <c r="H84" s="4"/>
      <c r="I84" s="4"/>
      <c r="J84" s="4"/>
      <c r="K84" s="4" t="s">
        <v>1413</v>
      </c>
      <c r="L84" s="4"/>
      <c r="M84" s="4"/>
      <c r="N84" s="4"/>
      <c r="O84" s="4"/>
      <c r="P84" s="4"/>
      <c r="Q84" s="4" t="s">
        <v>1413</v>
      </c>
    </row>
    <row r="85" spans="1:17" ht="13" x14ac:dyDescent="0.15">
      <c r="A85" s="4" t="s">
        <v>63</v>
      </c>
      <c r="B85" s="4"/>
      <c r="C85" s="4"/>
      <c r="D85" s="4"/>
      <c r="E85" s="4"/>
      <c r="F85" s="4"/>
      <c r="G85" s="4"/>
      <c r="H85" s="4"/>
      <c r="I85" s="4"/>
      <c r="J85" s="4"/>
      <c r="K85" s="4" t="s">
        <v>1413</v>
      </c>
      <c r="L85" s="4"/>
      <c r="M85" s="4"/>
      <c r="N85" s="4"/>
      <c r="O85" s="4"/>
      <c r="P85" s="4"/>
      <c r="Q85" s="4" t="s">
        <v>1413</v>
      </c>
    </row>
    <row r="86" spans="1:17" ht="13" x14ac:dyDescent="0.15">
      <c r="A86" s="4" t="s">
        <v>142</v>
      </c>
      <c r="B86" s="4"/>
      <c r="C86" s="4"/>
      <c r="D86" s="4"/>
      <c r="E86" s="4"/>
      <c r="F86" s="4" t="s">
        <v>1413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 t="s">
        <v>1413</v>
      </c>
    </row>
    <row r="87" spans="1:17" ht="13" x14ac:dyDescent="0.15">
      <c r="A87" s="4" t="s">
        <v>7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 t="s">
        <v>1413</v>
      </c>
      <c r="Q87" s="4" t="s">
        <v>1413</v>
      </c>
    </row>
    <row r="88" spans="1:17" ht="13" x14ac:dyDescent="0.15">
      <c r="A88" s="4" t="s">
        <v>193</v>
      </c>
      <c r="B88" s="4" t="s">
        <v>1413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 t="s">
        <v>1413</v>
      </c>
    </row>
    <row r="89" spans="1:17" ht="13" x14ac:dyDescent="0.15">
      <c r="A89" s="4" t="s">
        <v>76</v>
      </c>
      <c r="B89" s="4"/>
      <c r="C89" s="4" t="s">
        <v>1413</v>
      </c>
      <c r="D89" s="4"/>
      <c r="E89" s="4"/>
      <c r="F89" s="4"/>
      <c r="G89" s="4"/>
      <c r="H89" s="4"/>
      <c r="I89" s="4"/>
      <c r="J89" s="4" t="s">
        <v>1413</v>
      </c>
      <c r="K89" s="4"/>
      <c r="L89" s="4"/>
      <c r="M89" s="4"/>
      <c r="N89" s="4"/>
      <c r="O89" s="4"/>
      <c r="P89" s="4"/>
      <c r="Q89" s="4" t="s">
        <v>1413</v>
      </c>
    </row>
    <row r="90" spans="1:17" ht="13" x14ac:dyDescent="0.15">
      <c r="A90" s="4" t="s">
        <v>105</v>
      </c>
      <c r="B90" s="4"/>
      <c r="C90" s="4"/>
      <c r="D90" s="4"/>
      <c r="E90" s="4"/>
      <c r="F90" s="4"/>
      <c r="G90" s="4"/>
      <c r="H90" s="4" t="s">
        <v>1413</v>
      </c>
      <c r="I90" s="4"/>
      <c r="J90" s="4"/>
      <c r="K90" s="4"/>
      <c r="L90" s="4"/>
      <c r="M90" s="4"/>
      <c r="N90" s="4"/>
      <c r="O90" s="4"/>
      <c r="P90" s="4"/>
      <c r="Q90" s="4" t="s">
        <v>1413</v>
      </c>
    </row>
    <row r="91" spans="1:17" ht="13" x14ac:dyDescent="0.15">
      <c r="A91" s="4" t="s">
        <v>68</v>
      </c>
      <c r="B91" s="4"/>
      <c r="C91" s="4"/>
      <c r="D91" s="4"/>
      <c r="E91" s="4"/>
      <c r="F91" s="4"/>
      <c r="G91" s="4"/>
      <c r="H91" s="4"/>
      <c r="I91" s="4"/>
      <c r="J91" s="4"/>
      <c r="K91" s="4" t="s">
        <v>1413</v>
      </c>
      <c r="L91" s="4"/>
      <c r="M91" s="4"/>
      <c r="N91" s="4"/>
      <c r="O91" s="4"/>
      <c r="P91" s="4"/>
      <c r="Q91" s="4" t="s">
        <v>1413</v>
      </c>
    </row>
    <row r="92" spans="1:17" ht="13" x14ac:dyDescent="0.15">
      <c r="A92" s="4" t="s">
        <v>128</v>
      </c>
      <c r="B92" s="4"/>
      <c r="C92" s="4"/>
      <c r="D92" s="4"/>
      <c r="E92" s="4"/>
      <c r="F92" s="4"/>
      <c r="G92" s="4" t="s">
        <v>1413</v>
      </c>
      <c r="H92" s="4"/>
      <c r="I92" s="4"/>
      <c r="J92" s="4"/>
      <c r="K92" s="4"/>
      <c r="L92" s="4"/>
      <c r="M92" s="4"/>
      <c r="N92" s="4"/>
      <c r="O92" s="4"/>
      <c r="P92" s="4"/>
      <c r="Q92" s="4" t="s">
        <v>1413</v>
      </c>
    </row>
    <row r="93" spans="1:17" ht="13" x14ac:dyDescent="0.15">
      <c r="A93" s="4" t="s">
        <v>11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 t="s">
        <v>1413</v>
      </c>
      <c r="O93" s="4"/>
      <c r="P93" s="4"/>
      <c r="Q93" s="4" t="s">
        <v>1413</v>
      </c>
    </row>
    <row r="94" spans="1:17" ht="13" x14ac:dyDescent="0.15">
      <c r="A94" s="4" t="s">
        <v>25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 t="s">
        <v>1413</v>
      </c>
      <c r="P94" s="4"/>
      <c r="Q94" s="4" t="s">
        <v>1413</v>
      </c>
    </row>
    <row r="95" spans="1:17" ht="13" x14ac:dyDescent="0.15">
      <c r="A95" s="4" t="s">
        <v>256</v>
      </c>
      <c r="B95" s="4" t="s">
        <v>1413</v>
      </c>
      <c r="C95" s="4" t="s">
        <v>1413</v>
      </c>
      <c r="D95" s="4" t="s">
        <v>1413</v>
      </c>
      <c r="E95" s="4" t="s">
        <v>1413</v>
      </c>
      <c r="F95" s="4" t="s">
        <v>1413</v>
      </c>
      <c r="G95" s="4" t="s">
        <v>1413</v>
      </c>
      <c r="H95" s="4" t="s">
        <v>1413</v>
      </c>
      <c r="I95" s="4" t="s">
        <v>1413</v>
      </c>
      <c r="J95" s="4" t="s">
        <v>1413</v>
      </c>
      <c r="K95" s="4" t="s">
        <v>1413</v>
      </c>
      <c r="L95" s="4" t="s">
        <v>1413</v>
      </c>
      <c r="M95" s="4" t="s">
        <v>1413</v>
      </c>
      <c r="N95" s="4" t="s">
        <v>1413</v>
      </c>
      <c r="O95" s="4" t="s">
        <v>1413</v>
      </c>
      <c r="P95" s="4" t="s">
        <v>1413</v>
      </c>
      <c r="Q95" s="4" t="s">
        <v>1413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3418"/>
  <sheetViews>
    <sheetView workbookViewId="0"/>
  </sheetViews>
  <sheetFormatPr baseColWidth="10" defaultColWidth="12.6640625" defaultRowHeight="15.75" customHeight="1" x14ac:dyDescent="0.15"/>
  <cols>
    <col min="1" max="1" width="85.1640625" customWidth="1"/>
    <col min="2" max="2" width="20.83203125" customWidth="1"/>
    <col min="4" max="4" width="35.5" customWidth="1"/>
    <col min="5" max="5" width="21.83203125" customWidth="1"/>
    <col min="6" max="6" width="16" customWidth="1"/>
    <col min="7" max="7" width="35.33203125" customWidth="1"/>
  </cols>
  <sheetData>
    <row r="1" spans="1:27" ht="15.7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15">
      <c r="A2" s="4" t="str">
        <f ca="1">IFERROR(__xludf.DUMMYFUNCTION("flatten('Bron Opwekking'!A2:A908, 'Bron Sela'!A2:A300, 'Bron TPP'!A2:A62, 'Bron SvG'!A2:A33)"),"Opw 1 Hij's de Koning van mijn hart")</f>
        <v>Opw 1 Hij's de Koning van mijn hart</v>
      </c>
    </row>
    <row r="3" spans="1:27" ht="15.75" customHeight="1" x14ac:dyDescent="0.15">
      <c r="A3" s="4" t="str">
        <f ca="1">IFERROR(__xludf.DUMMYFUNCTION("""COMPUTED_VALUE"""),"Opw 2 O, hoe wonderbaar is Jezus' bloed")</f>
        <v>Opw 2 O, hoe wonderbaar is Jezus' bloed</v>
      </c>
    </row>
    <row r="4" spans="1:27" ht="15.75" customHeight="1" x14ac:dyDescent="0.15">
      <c r="A4" s="4" t="str">
        <f ca="1">IFERROR(__xludf.DUMMYFUNCTION("""COMPUTED_VALUE"""),"Opw 3 Wees blij in de Heer en zing verheugd")</f>
        <v>Opw 3 Wees blij in de Heer en zing verheugd</v>
      </c>
    </row>
    <row r="5" spans="1:27" ht="15.75" customHeight="1" x14ac:dyDescent="0.15">
      <c r="A5" s="4" t="str">
        <f ca="1">IFERROR(__xludf.DUMMYFUNCTION("""COMPUTED_VALUE"""),"Opw 4 Zijn naam is wonderbaar")</f>
        <v>Opw 4 Zijn naam is wonderbaar</v>
      </c>
    </row>
    <row r="6" spans="1:27" ht="15.75" customHeight="1" x14ac:dyDescent="0.15">
      <c r="A6" s="4" t="str">
        <f ca="1">IFERROR(__xludf.DUMMYFUNCTION("""COMPUTED_VALUE"""),"Opw 5 Halleluja (Jerry Sinclair)")</f>
        <v>Opw 5 Halleluja (Jerry Sinclair)</v>
      </c>
    </row>
    <row r="7" spans="1:27" ht="15.75" customHeight="1" x14ac:dyDescent="0.15">
      <c r="A7" s="4" t="str">
        <f ca="1">IFERROR(__xludf.DUMMYFUNCTION("""COMPUTED_VALUE"""),"Opw 6 Hij is Heer, Hij is Heer")</f>
        <v>Opw 6 Hij is Heer, Hij is Heer</v>
      </c>
    </row>
    <row r="8" spans="1:27" ht="15.75" customHeight="1" x14ac:dyDescent="0.15">
      <c r="A8" s="4" t="str">
        <f ca="1">IFERROR(__xludf.DUMMYFUNCTION("""COMPUTED_VALUE"""),"Opw 7 Heer, God, U loven wij")</f>
        <v>Opw 7 Heer, God, U loven wij</v>
      </c>
    </row>
    <row r="9" spans="1:27" ht="15.75" customHeight="1" x14ac:dyDescent="0.15">
      <c r="A9" s="4" t="str">
        <f ca="1">IFERROR(__xludf.DUMMYFUNCTION("""COMPUTED_VALUE"""),"Opw 8 Door de heilige Geest zijn wij één")</f>
        <v>Opw 8 Door de heilige Geest zijn wij één</v>
      </c>
    </row>
    <row r="10" spans="1:27" ht="15.75" customHeight="1" x14ac:dyDescent="0.15">
      <c r="A10" s="4" t="str">
        <f ca="1">IFERROR(__xludf.DUMMYFUNCTION("""COMPUTED_VALUE"""),"Opw 9 Wat ik nodig heb")</f>
        <v>Opw 9 Wat ik nodig heb</v>
      </c>
    </row>
    <row r="11" spans="1:27" ht="15.75" customHeight="1" x14ac:dyDescent="0.15">
      <c r="A11" s="4" t="str">
        <f ca="1">IFERROR(__xludf.DUMMYFUNCTION("""COMPUTED_VALUE"""),"Opw 10 Laat mijn leven zijn")</f>
        <v>Opw 10 Laat mijn leven zijn</v>
      </c>
    </row>
    <row r="12" spans="1:27" ht="15.75" customHeight="1" x14ac:dyDescent="0.15">
      <c r="A12" s="4" t="str">
        <f ca="1">IFERROR(__xludf.DUMMYFUNCTION("""COMPUTED_VALUE"""),"Opw 11 Er is een Heer/Jezus sprak hier op aard")</f>
        <v>Opw 11 Er is een Heer/Jezus sprak hier op aard</v>
      </c>
    </row>
    <row r="13" spans="1:27" ht="15.75" customHeight="1" x14ac:dyDescent="0.15">
      <c r="A13" s="4" t="str">
        <f ca="1">IFERROR(__xludf.DUMMYFUNCTION("""COMPUTED_VALUE"""),"Opw 12 All over the world")</f>
        <v>Opw 12 All over the world</v>
      </c>
    </row>
    <row r="14" spans="1:27" ht="15.75" customHeight="1" x14ac:dyDescent="0.15">
      <c r="A14" s="4" t="str">
        <f ca="1">IFERROR(__xludf.DUMMYFUNCTION("""COMPUTED_VALUE"""),"Opw 13 Jezus, Hij is Koning")</f>
        <v>Opw 13 Jezus, Hij is Koning</v>
      </c>
    </row>
    <row r="15" spans="1:27" ht="15.75" customHeight="1" x14ac:dyDescent="0.15">
      <c r="A15" s="4" t="str">
        <f ca="1">IFERROR(__xludf.DUMMYFUNCTION("""COMPUTED_VALUE"""),"Opw 14 De vreugde des Heren is mijn kracht")</f>
        <v>Opw 14 De vreugde des Heren is mijn kracht</v>
      </c>
    </row>
    <row r="16" spans="1:27" ht="15.75" customHeight="1" x14ac:dyDescent="0.15">
      <c r="A16" s="4" t="str">
        <f ca="1">IFERROR(__xludf.DUMMYFUNCTION("""COMPUTED_VALUE"""),"Opw 15 Jesus' love is very wonderful")</f>
        <v>Opw 15 Jesus' love is very wonderful</v>
      </c>
    </row>
    <row r="17" spans="1:1" ht="15.75" customHeight="1" x14ac:dyDescent="0.15">
      <c r="A17" s="4" t="str">
        <f ca="1">IFERROR(__xludf.DUMMYFUNCTION("""COMPUTED_VALUE"""),"Opw 16 Hij is getrouw en nimmer falend")</f>
        <v>Opw 16 Hij is getrouw en nimmer falend</v>
      </c>
    </row>
    <row r="18" spans="1:1" ht="15.75" customHeight="1" x14ac:dyDescent="0.15">
      <c r="A18" s="4" t="str">
        <f ca="1">IFERROR(__xludf.DUMMYFUNCTION("""COMPUTED_VALUE"""),"Opw 17 Ja, God is goed")</f>
        <v>Opw 17 Ja, God is goed</v>
      </c>
    </row>
    <row r="19" spans="1:1" ht="15.75" customHeight="1" x14ac:dyDescent="0.15">
      <c r="A19" s="4" t="str">
        <f ca="1">IFERROR(__xludf.DUMMYFUNCTION("""COMPUTED_VALUE"""),"Opw 18 Zijn goedheid en genade")</f>
        <v>Opw 18 Zijn goedheid en genade</v>
      </c>
    </row>
    <row r="20" spans="1:1" ht="15.75" customHeight="1" x14ac:dyDescent="0.15">
      <c r="A20" s="4" t="str">
        <f ca="1">IFERROR(__xludf.DUMMYFUNCTION("""COMPUTED_VALUE"""),"Opw 19 He brought me to His banqueting table")</f>
        <v>Opw 19 He brought me to His banqueting table</v>
      </c>
    </row>
    <row r="21" spans="1:1" ht="15.75" customHeight="1" x14ac:dyDescent="0.15">
      <c r="A21" s="4" t="str">
        <f ca="1">IFERROR(__xludf.DUMMYFUNCTION("""COMPUTED_VALUE"""),"Opw 20 Niemand anders dan Jezus")</f>
        <v>Opw 20 Niemand anders dan Jezus</v>
      </c>
    </row>
    <row r="22" spans="1:1" ht="15.75" customHeight="1" x14ac:dyDescent="0.15">
      <c r="A22" s="4" t="str">
        <f ca="1">IFERROR(__xludf.DUMMYFUNCTION("""COMPUTED_VALUE"""),"Opw 21 Ik dank U, dank U Jezus")</f>
        <v>Opw 21 Ik dank U, dank U Jezus</v>
      </c>
    </row>
    <row r="23" spans="1:1" ht="15.75" customHeight="1" x14ac:dyDescent="0.15">
      <c r="A23" s="4" t="str">
        <f ca="1">IFERROR(__xludf.DUMMYFUNCTION("""COMPUTED_VALUE"""),"Opw 22 In de naam van Jezus, in de naam van Jezus")</f>
        <v>Opw 22 In de naam van Jezus, in de naam van Jezus</v>
      </c>
    </row>
    <row r="24" spans="1:1" ht="15.75" customHeight="1" x14ac:dyDescent="0.15">
      <c r="A24" s="4" t="str">
        <f ca="1">IFERROR(__xludf.DUMMYFUNCTION("""COMPUTED_VALUE"""),"Opw 23 Ik weet, dat God de weg mij banen zal")</f>
        <v>Opw 23 Ik weet, dat God de weg mij banen zal</v>
      </c>
    </row>
    <row r="25" spans="1:1" ht="15.75" customHeight="1" x14ac:dyDescent="0.15">
      <c r="A25" s="4" t="str">
        <f ca="1">IFERROR(__xludf.DUMMYFUNCTION("""COMPUTED_VALUE"""),"Opw 24 Zingt, zingt en jubelt")</f>
        <v>Opw 24 Zingt, zingt en jubelt</v>
      </c>
    </row>
    <row r="26" spans="1:1" ht="15.75" customHeight="1" x14ac:dyDescent="0.15">
      <c r="A26" s="4" t="str">
        <f ca="1">IFERROR(__xludf.DUMMYFUNCTION("""COMPUTED_VALUE"""),"Opw 25 Laat ons met elkander")</f>
        <v>Opw 25 Laat ons met elkander</v>
      </c>
    </row>
    <row r="27" spans="1:1" ht="15.75" customHeight="1" x14ac:dyDescent="0.15">
      <c r="A27" s="4" t="str">
        <f ca="1">IFERROR(__xludf.DUMMYFUNCTION("""COMPUTED_VALUE"""),"Opw 26 Gods weg is de beste")</f>
        <v>Opw 26 Gods weg is de beste</v>
      </c>
    </row>
    <row r="28" spans="1:1" ht="15.75" customHeight="1" x14ac:dyDescent="0.15">
      <c r="A28" s="4" t="str">
        <f ca="1">IFERROR(__xludf.DUMMYFUNCTION("""COMPUTED_VALUE"""),"Opw 27 Leid mij, Heer, o machtig Heiland")</f>
        <v>Opw 27 Leid mij, Heer, o machtig Heiland</v>
      </c>
    </row>
    <row r="29" spans="1:1" ht="15.75" customHeight="1" x14ac:dyDescent="0.15">
      <c r="A29" s="4" t="str">
        <f ca="1">IFERROR(__xludf.DUMMYFUNCTION("""COMPUTED_VALUE"""),"Opw 28 Als Gods Geest waarlijk in ons woont")</f>
        <v>Opw 28 Als Gods Geest waarlijk in ons woont</v>
      </c>
    </row>
    <row r="30" spans="1:1" ht="15.75" customHeight="1" x14ac:dyDescent="0.15">
      <c r="A30" s="4" t="str">
        <f ca="1">IFERROR(__xludf.DUMMYFUNCTION("""COMPUTED_VALUE"""),"Opw 29 Praise the Lord")</f>
        <v>Opw 29 Praise the Lord</v>
      </c>
    </row>
    <row r="31" spans="1:1" ht="15.75" customHeight="1" x14ac:dyDescent="0.15">
      <c r="A31" s="4" t="str">
        <f ca="1">IFERROR(__xludf.DUMMYFUNCTION("""COMPUTED_VALUE"""),"Opw 30 Ik heb een loflied in mijn hart")</f>
        <v>Opw 30 Ik heb een loflied in mijn hart</v>
      </c>
    </row>
    <row r="32" spans="1:1" ht="15.75" customHeight="1" x14ac:dyDescent="0.15">
      <c r="A32" s="4" t="str">
        <f ca="1">IFERROR(__xludf.DUMMYFUNCTION("""COMPUTED_VALUE"""),"Opw 31 O, how I love Jesus")</f>
        <v>Opw 31 O, how I love Jesus</v>
      </c>
    </row>
    <row r="33" spans="1:1" ht="15.75" customHeight="1" x14ac:dyDescent="0.15">
      <c r="A33" s="4" t="str">
        <f ca="1">IFERROR(__xludf.DUMMYFUNCTION("""COMPUTED_VALUE"""),"Opw 32 Dit is de dag die de Heer ons geeft")</f>
        <v>Opw 32 Dit is de dag die de Heer ons geeft</v>
      </c>
    </row>
    <row r="34" spans="1:1" ht="15.75" customHeight="1" x14ac:dyDescent="0.15">
      <c r="A34" s="4" t="str">
        <f ca="1">IFERROR(__xludf.DUMMYFUNCTION("""COMPUTED_VALUE"""),"Opw 33 Prijst God")</f>
        <v>Opw 33 Prijst God</v>
      </c>
    </row>
    <row r="35" spans="1:1" ht="15.75" customHeight="1" x14ac:dyDescent="0.15">
      <c r="A35" s="4" t="str">
        <f ca="1">IFERROR(__xludf.DUMMYFUNCTION("""COMPUTED_VALUE"""),"Opw 34 Hiney ma tov ooma nayim")</f>
        <v>Opw 34 Hiney ma tov ooma nayim</v>
      </c>
    </row>
    <row r="36" spans="1:1" ht="15.75" customHeight="1" x14ac:dyDescent="0.15">
      <c r="A36" s="4" t="str">
        <f ca="1">IFERROR(__xludf.DUMMYFUNCTION("""COMPUTED_VALUE"""),"Opw 35 Klapt in de handen")</f>
        <v>Opw 35 Klapt in de handen</v>
      </c>
    </row>
    <row r="37" spans="1:1" ht="15.75" customHeight="1" x14ac:dyDescent="0.15">
      <c r="A37" s="4" t="str">
        <f ca="1">IFERROR(__xludf.DUMMYFUNCTION("""COMPUTED_VALUE"""),"Opw 36 Roep Mij toch aan")</f>
        <v>Opw 36 Roep Mij toch aan</v>
      </c>
    </row>
    <row r="38" spans="1:1" ht="15.75" customHeight="1" x14ac:dyDescent="0.15">
      <c r="A38" s="4" t="str">
        <f ca="1">IFERROR(__xludf.DUMMYFUNCTION("""COMPUTED_VALUE"""),"Opw 37 Halleluja. Hij stierf voor mij")</f>
        <v>Opw 37 Halleluja. Hij stierf voor mij</v>
      </c>
    </row>
    <row r="39" spans="1:1" ht="15.75" customHeight="1" x14ac:dyDescent="0.15">
      <c r="A39" s="4" t="str">
        <f ca="1">IFERROR(__xludf.DUMMYFUNCTION("""COMPUTED_VALUE"""),"Opw 38 Halleluja (Garratt)")</f>
        <v>Opw 38 Halleluja (Garratt)</v>
      </c>
    </row>
    <row r="40" spans="1:1" ht="15.75" customHeight="1" x14ac:dyDescent="0.15">
      <c r="A40" s="4" t="str">
        <f ca="1">IFERROR(__xludf.DUMMYFUNCTION("""COMPUTED_VALUE"""),"Opw 39 Heilig, heilig, Heer God almachtig")</f>
        <v>Opw 39 Heilig, heilig, Heer God almachtig</v>
      </c>
    </row>
    <row r="41" spans="1:1" ht="15.75" customHeight="1" x14ac:dyDescent="0.15">
      <c r="A41" s="4" t="str">
        <f ca="1">IFERROR(__xludf.DUMMYFUNCTION("""COMPUTED_VALUE"""),"Opw 40 Zoekt eerst het koninkrijk van God")</f>
        <v>Opw 40 Zoekt eerst het koninkrijk van God</v>
      </c>
    </row>
    <row r="42" spans="1:1" ht="15.75" customHeight="1" x14ac:dyDescent="0.15">
      <c r="A42" s="4" t="str">
        <f ca="1">IFERROR(__xludf.DUMMYFUNCTION("""COMPUTED_VALUE"""),"Opw 41 Love is the flag")</f>
        <v>Opw 41 Love is the flag</v>
      </c>
    </row>
    <row r="43" spans="1:1" ht="15.75" customHeight="1" x14ac:dyDescent="0.15">
      <c r="A43" s="4" t="str">
        <f ca="1">IFERROR(__xludf.DUMMYFUNCTION("""COMPUTED_VALUE"""),"Opw 42 k Stel mijn vertrouwen")</f>
        <v>Opw 42 k Stel mijn vertrouwen</v>
      </c>
    </row>
    <row r="44" spans="1:1" ht="15.75" customHeight="1" x14ac:dyDescent="0.15">
      <c r="A44" s="4" t="str">
        <f ca="1">IFERROR(__xludf.DUMMYFUNCTION("""COMPUTED_VALUE"""),"Opw 43 In Gods overwinning")</f>
        <v>Opw 43 In Gods overwinning</v>
      </c>
    </row>
    <row r="45" spans="1:1" ht="15.75" customHeight="1" x14ac:dyDescent="0.15">
      <c r="A45" s="4" t="str">
        <f ca="1">IFERROR(__xludf.DUMMYFUNCTION("""COMPUTED_VALUE"""),"Opw 44 Geprezen zij de Heer die eeuwig leeft")</f>
        <v>Opw 44 Geprezen zij de Heer die eeuwig leeft</v>
      </c>
    </row>
    <row r="46" spans="1:1" ht="15.75" customHeight="1" x14ac:dyDescent="0.15">
      <c r="A46" s="4" t="str">
        <f ca="1">IFERROR(__xludf.DUMMYFUNCTION("""COMPUTED_VALUE"""),"Opw 45 Heer, 'k wil U danken, U loven en prijzen")</f>
        <v>Opw 45 Heer, 'k wil U danken, U loven en prijzen</v>
      </c>
    </row>
    <row r="47" spans="1:1" ht="15.75" customHeight="1" x14ac:dyDescent="0.15">
      <c r="A47" s="4" t="str">
        <f ca="1">IFERROR(__xludf.DUMMYFUNCTION("""COMPUTED_VALUE"""),"Opw 46 Vader, ik aanbid U")</f>
        <v>Opw 46 Vader, ik aanbid U</v>
      </c>
    </row>
    <row r="48" spans="1:1" ht="15.75" customHeight="1" x14ac:dyDescent="0.15">
      <c r="A48" s="4" t="str">
        <f ca="1">IFERROR(__xludf.DUMMYFUNCTION("""COMPUTED_VALUE"""),"Opw 47 Omdat Hij leeft")</f>
        <v>Opw 47 Omdat Hij leeft</v>
      </c>
    </row>
    <row r="49" spans="1:1" ht="15.75" customHeight="1" x14ac:dyDescent="0.15">
      <c r="A49" s="4" t="str">
        <f ca="1">IFERROR(__xludf.DUMMYFUNCTION("""COMPUTED_VALUE"""),"Opw 48 Dank U Jezus")</f>
        <v>Opw 48 Dank U Jezus</v>
      </c>
    </row>
    <row r="50" spans="1:1" ht="15.75" customHeight="1" x14ac:dyDescent="0.15">
      <c r="A50" s="4" t="str">
        <f ca="1">IFERROR(__xludf.DUMMYFUNCTION("""COMPUTED_VALUE"""),"Opw 49 Halleluja, want de Heer onze God")</f>
        <v>Opw 49 Halleluja, want de Heer onze God</v>
      </c>
    </row>
    <row r="51" spans="1:1" ht="15.75" customHeight="1" x14ac:dyDescent="0.15">
      <c r="A51" s="4" t="str">
        <f ca="1">IFERROR(__xludf.DUMMYFUNCTION("""COMPUTED_VALUE"""),"Opw 50 k Wil U prijzen, o Heer")</f>
        <v>Opw 50 k Wil U prijzen, o Heer</v>
      </c>
    </row>
    <row r="52" spans="1:1" ht="15.75" customHeight="1" x14ac:dyDescent="0.15">
      <c r="A52" s="4" t="str">
        <f ca="1">IFERROR(__xludf.DUMMYFUNCTION("""COMPUTED_VALUE"""),"Opw 51 Dit is mijn gebod")</f>
        <v>Opw 51 Dit is mijn gebod</v>
      </c>
    </row>
    <row r="53" spans="1:1" ht="15.75" customHeight="1" x14ac:dyDescent="0.15">
      <c r="A53" s="4" t="str">
        <f ca="1">IFERROR(__xludf.DUMMYFUNCTION("""COMPUTED_VALUE"""),"Opw 52 Gij zijt waardig")</f>
        <v>Opw 52 Gij zijt waardig</v>
      </c>
    </row>
    <row r="54" spans="1:1" ht="15.75" customHeight="1" x14ac:dyDescent="0.15">
      <c r="A54" s="4" t="str">
        <f ca="1">IFERROR(__xludf.DUMMYFUNCTION("""COMPUTED_VALUE"""),"Opw 53 Zingt de Here een nieuw lied")</f>
        <v>Opw 53 Zingt de Here een nieuw lied</v>
      </c>
    </row>
    <row r="55" spans="1:1" ht="13" x14ac:dyDescent="0.15">
      <c r="A55" s="4" t="str">
        <f ca="1">IFERROR(__xludf.DUMMYFUNCTION("""COMPUTED_VALUE"""),"Opw 54 Looft de Here, alle gij volken")</f>
        <v>Opw 54 Looft de Here, alle gij volken</v>
      </c>
    </row>
    <row r="56" spans="1:1" ht="13" x14ac:dyDescent="0.15">
      <c r="A56" s="4" t="str">
        <f ca="1">IFERROR(__xludf.DUMMYFUNCTION("""COMPUTED_VALUE"""),"Opw 55 Groot is de Heer en hoog te loven")</f>
        <v>Opw 55 Groot is de Heer en hoog te loven</v>
      </c>
    </row>
    <row r="57" spans="1:1" ht="13" x14ac:dyDescent="0.15">
      <c r="A57" s="4" t="str">
        <f ca="1">IFERROR(__xludf.DUMMYFUNCTION("""COMPUTED_VALUE"""),"Opw 56 Zijn naam is hoger")</f>
        <v>Opw 56 Zijn naam is hoger</v>
      </c>
    </row>
    <row r="58" spans="1:1" ht="13" x14ac:dyDescent="0.15">
      <c r="A58" s="4" t="str">
        <f ca="1">IFERROR(__xludf.DUMMYFUNCTION("""COMPUTED_VALUE"""),"Opw 57 Prijst de naam van Jezus")</f>
        <v>Opw 57 Prijst de naam van Jezus</v>
      </c>
    </row>
    <row r="59" spans="1:1" ht="13" x14ac:dyDescent="0.15">
      <c r="A59" s="4" t="str">
        <f ca="1">IFERROR(__xludf.DUMMYFUNCTION("""COMPUTED_VALUE"""),"Opw 58 Vrede zij u")</f>
        <v>Opw 58 Vrede zij u</v>
      </c>
    </row>
    <row r="60" spans="1:1" ht="13" x14ac:dyDescent="0.15">
      <c r="A60" s="4" t="str">
        <f ca="1">IFERROR(__xludf.DUMMYFUNCTION("""COMPUTED_VALUE"""),"Opw 59 Mogen de woorden van mijn mond")</f>
        <v>Opw 59 Mogen de woorden van mijn mond</v>
      </c>
    </row>
    <row r="61" spans="1:1" ht="13" x14ac:dyDescent="0.15">
      <c r="A61" s="4" t="str">
        <f ca="1">IFERROR(__xludf.DUMMYFUNCTION("""COMPUTED_VALUE"""),"Opw 60 Voor uw liefde, Heer Jezus")</f>
        <v>Opw 60 Voor uw liefde, Heer Jezus</v>
      </c>
    </row>
    <row r="62" spans="1:1" ht="13" x14ac:dyDescent="0.15">
      <c r="A62" s="4" t="str">
        <f ca="1">IFERROR(__xludf.DUMMYFUNCTION("""COMPUTED_VALUE"""),"Opw 61 Prijst met ons de Heer")</f>
        <v>Opw 61 Prijst met ons de Heer</v>
      </c>
    </row>
    <row r="63" spans="1:1" ht="13" x14ac:dyDescent="0.15">
      <c r="A63" s="4" t="str">
        <f ca="1">IFERROR(__xludf.DUMMYFUNCTION("""COMPUTED_VALUE"""),"Opw 62 Gods lof wil 'k zingen")</f>
        <v>Opw 62 Gods lof wil 'k zingen</v>
      </c>
    </row>
    <row r="64" spans="1:1" ht="13" x14ac:dyDescent="0.15">
      <c r="A64" s="4" t="str">
        <f ca="1">IFERROR(__xludf.DUMMYFUNCTION("""COMPUTED_VALUE"""),"Opw 63 Prijst de Here met elkander")</f>
        <v>Opw 63 Prijst de Here met elkander</v>
      </c>
    </row>
    <row r="65" spans="1:1" ht="13" x14ac:dyDescent="0.15">
      <c r="A65" s="4" t="str">
        <f ca="1">IFERROR(__xludf.DUMMYFUNCTION("""COMPUTED_VALUE"""),"Opw 64 Beter dan 't leven")</f>
        <v>Opw 64 Beter dan 't leven</v>
      </c>
    </row>
    <row r="66" spans="1:1" ht="13" x14ac:dyDescent="0.15">
      <c r="A66" s="4" t="str">
        <f ca="1">IFERROR(__xludf.DUMMYFUNCTION("""COMPUTED_VALUE"""),"Opw 65 Loof de Here, mijn ziel")</f>
        <v>Opw 65 Loof de Here, mijn ziel</v>
      </c>
    </row>
    <row r="67" spans="1:1" ht="13" x14ac:dyDescent="0.15">
      <c r="A67" s="4" t="str">
        <f ca="1">IFERROR(__xludf.DUMMYFUNCTION("""COMPUTED_VALUE"""),"Opw 66 Komt, prijst de Heer")</f>
        <v>Opw 66 Komt, prijst de Heer</v>
      </c>
    </row>
    <row r="68" spans="1:1" ht="13" x14ac:dyDescent="0.15">
      <c r="A68" s="4" t="str">
        <f ca="1">IFERROR(__xludf.DUMMYFUNCTION("""COMPUTED_VALUE"""),"Opw 67 Het is goed, ja 't is goed")</f>
        <v>Opw 67 Het is goed, ja 't is goed</v>
      </c>
    </row>
    <row r="69" spans="1:1" ht="13" x14ac:dyDescent="0.15">
      <c r="A69" s="4" t="str">
        <f ca="1">IFERROR(__xludf.DUMMYFUNCTION("""COMPUTED_VALUE"""),"Opw 68 Zing halleluja voor de Heer")</f>
        <v>Opw 68 Zing halleluja voor de Heer</v>
      </c>
    </row>
    <row r="70" spans="1:1" ht="13" x14ac:dyDescent="0.15">
      <c r="A70" s="4" t="str">
        <f ca="1">IFERROR(__xludf.DUMMYFUNCTION("""COMPUTED_VALUE"""),"Opw 69 k Heb je lief met de liefde van de Heer")</f>
        <v>Opw 69 k Heb je lief met de liefde van de Heer</v>
      </c>
    </row>
    <row r="71" spans="1:1" ht="13" x14ac:dyDescent="0.15">
      <c r="A71" s="4" t="str">
        <f ca="1">IFERROR(__xludf.DUMMYFUNCTION("""COMPUTED_VALUE"""),"Opw 70 Heer, onze God, hoe heerlijk is uw naam")</f>
        <v>Opw 70 Heer, onze God, hoe heerlijk is uw naam</v>
      </c>
    </row>
    <row r="72" spans="1:1" ht="13" x14ac:dyDescent="0.15">
      <c r="A72" s="4" t="str">
        <f ca="1">IFERROR(__xludf.DUMMYFUNCTION("""COMPUTED_VALUE"""),"Opw 71 Jezus leeft in eeuwigheid")</f>
        <v>Opw 71 Jezus leeft in eeuwigheid</v>
      </c>
    </row>
    <row r="73" spans="1:1" ht="13" x14ac:dyDescent="0.15">
      <c r="A73" s="4" t="str">
        <f ca="1">IFERROR(__xludf.DUMMYFUNCTION("""COMPUTED_VALUE"""),"Opw 72 Vanwaar de zon opgaat")</f>
        <v>Opw 72 Vanwaar de zon opgaat</v>
      </c>
    </row>
    <row r="74" spans="1:1" ht="13" x14ac:dyDescent="0.15">
      <c r="A74" s="4" t="str">
        <f ca="1">IFERROR(__xludf.DUMMYFUNCTION("""COMPUTED_VALUE"""),"Opw 73 Wat een plezier heeft het meisje")</f>
        <v>Opw 73 Wat een plezier heeft het meisje</v>
      </c>
    </row>
    <row r="75" spans="1:1" ht="13" x14ac:dyDescent="0.15">
      <c r="A75" s="4" t="str">
        <f ca="1">IFERROR(__xludf.DUMMYFUNCTION("""COMPUTED_VALUE"""),"Opw 74 Heer, we zijn hier saamgekomen")</f>
        <v>Opw 74 Heer, we zijn hier saamgekomen</v>
      </c>
    </row>
    <row r="76" spans="1:1" ht="13" x14ac:dyDescent="0.15">
      <c r="A76" s="4" t="str">
        <f ca="1">IFERROR(__xludf.DUMMYFUNCTION("""COMPUTED_VALUE"""),"Opw 75 Wie lof offert, eert Mij")</f>
        <v>Opw 75 Wie lof offert, eert Mij</v>
      </c>
    </row>
    <row r="77" spans="1:1" ht="13" x14ac:dyDescent="0.15">
      <c r="A77" s="4" t="str">
        <f ca="1">IFERROR(__xludf.DUMMYFUNCTION("""COMPUTED_VALUE"""),"Opw 76 Maar Gij, Heer, zijt een schild dat mij dekt")</f>
        <v>Opw 76 Maar Gij, Heer, zijt een schild dat mij dekt</v>
      </c>
    </row>
    <row r="78" spans="1:1" ht="13" x14ac:dyDescent="0.15">
      <c r="A78" s="4" t="str">
        <f ca="1">IFERROR(__xludf.DUMMYFUNCTION("""COMPUTED_VALUE"""),"Opw 77 Wij zijn allen hier bijeen in Jezus' naam")</f>
        <v>Opw 77 Wij zijn allen hier bijeen in Jezus' naam</v>
      </c>
    </row>
    <row r="79" spans="1:1" ht="13" x14ac:dyDescent="0.15">
      <c r="A79" s="4" t="str">
        <f ca="1">IFERROR(__xludf.DUMMYFUNCTION("""COMPUTED_VALUE"""),"Opw 78 Halleluja, looft God in zijn heiligdom")</f>
        <v>Opw 78 Halleluja, looft God in zijn heiligdom</v>
      </c>
    </row>
    <row r="80" spans="1:1" ht="13" x14ac:dyDescent="0.15">
      <c r="A80" s="4" t="str">
        <f ca="1">IFERROR(__xludf.DUMMYFUNCTION("""COMPUTED_VALUE"""),"Opw 79 Tot U, o Heer, hef ik op mijn ziele")</f>
        <v>Opw 79 Tot U, o Heer, hef ik op mijn ziele</v>
      </c>
    </row>
    <row r="81" spans="1:1" ht="13" x14ac:dyDescent="0.15">
      <c r="A81" s="4" t="str">
        <f ca="1">IFERROR(__xludf.DUMMYFUNCTION("""COMPUTED_VALUE"""),"Opw 80 Ik zal opgaan naar Gods huis")</f>
        <v>Opw 80 Ik zal opgaan naar Gods huis</v>
      </c>
    </row>
    <row r="82" spans="1:1" ht="13" x14ac:dyDescent="0.15">
      <c r="A82" s="4" t="str">
        <f ca="1">IFERROR(__xludf.DUMMYFUNCTION("""COMPUTED_VALUE"""),"Opw 81 Waardig, waardig, waardig")</f>
        <v>Opw 81 Waardig, waardig, waardig</v>
      </c>
    </row>
    <row r="83" spans="1:1" ht="13" x14ac:dyDescent="0.15">
      <c r="A83" s="4" t="str">
        <f ca="1">IFERROR(__xludf.DUMMYFUNCTION("""COMPUTED_VALUE"""),"Opw 82 Komt, laat ons zingen vandaag")</f>
        <v>Opw 82 Komt, laat ons zingen vandaag</v>
      </c>
    </row>
    <row r="84" spans="1:1" ht="13" x14ac:dyDescent="0.15">
      <c r="A84" s="4" t="str">
        <f ca="1">IFERROR(__xludf.DUMMYFUNCTION("""COMPUTED_VALUE"""),"Opw 83 Hij, die gelooft")</f>
        <v>Opw 83 Hij, die gelooft</v>
      </c>
    </row>
    <row r="85" spans="1:1" ht="13" x14ac:dyDescent="0.15">
      <c r="A85" s="4" t="str">
        <f ca="1">IFERROR(__xludf.DUMMYFUNCTION("""COMPUTED_VALUE"""),"Opw 84 Hij wordt mij liever ied're dag")</f>
        <v>Opw 84 Hij wordt mij liever ied're dag</v>
      </c>
    </row>
    <row r="86" spans="1:1" ht="13" x14ac:dyDescent="0.15">
      <c r="A86" s="4" t="str">
        <f ca="1">IFERROR(__xludf.DUMMYFUNCTION("""COMPUTED_VALUE"""),"Opw 85 Eenmaal zullen wij de Koning zien")</f>
        <v>Opw 85 Eenmaal zullen wij de Koning zien</v>
      </c>
    </row>
    <row r="87" spans="1:1" ht="13" x14ac:dyDescent="0.15">
      <c r="A87" s="4" t="str">
        <f ca="1">IFERROR(__xludf.DUMMYFUNCTION("""COMPUTED_VALUE"""),"Opw 86 Zing en speel tot eer van Hem")</f>
        <v>Opw 86 Zing en speel tot eer van Hem</v>
      </c>
    </row>
    <row r="88" spans="1:1" ht="13" x14ac:dyDescent="0.15">
      <c r="A88" s="4" t="str">
        <f ca="1">IFERROR(__xludf.DUMMYFUNCTION("""COMPUTED_VALUE"""),"Opw 87 Alle kind'ren mogen komen")</f>
        <v>Opw 87 Alle kind'ren mogen komen</v>
      </c>
    </row>
    <row r="89" spans="1:1" ht="13" x14ac:dyDescent="0.15">
      <c r="A89" s="4" t="str">
        <f ca="1">IFERROR(__xludf.DUMMYFUNCTION("""COMPUTED_VALUE"""),"Opw 88 Een rivier vol van vrede")</f>
        <v>Opw 88 Een rivier vol van vrede</v>
      </c>
    </row>
    <row r="90" spans="1:1" ht="13" x14ac:dyDescent="0.15">
      <c r="A90" s="4" t="str">
        <f ca="1">IFERROR(__xludf.DUMMYFUNCTION("""COMPUTED_VALUE"""),"Opw 89 Als ik mij herinner wat Hij deed voor mij")</f>
        <v>Opw 89 Als ik mij herinner wat Hij deed voor mij</v>
      </c>
    </row>
    <row r="91" spans="1:1" ht="13" x14ac:dyDescent="0.15">
      <c r="A91" s="4" t="str">
        <f ca="1">IFERROR(__xludf.DUMMYFUNCTION("""COMPUTED_VALUE"""),"Opw 90 Daarginds ver in de hemel")</f>
        <v>Opw 90 Daarginds ver in de hemel</v>
      </c>
    </row>
    <row r="92" spans="1:1" ht="13" x14ac:dyDescent="0.15">
      <c r="A92" s="4" t="str">
        <f ca="1">IFERROR(__xludf.DUMMYFUNCTION("""COMPUTED_VALUE"""),"Opw 91 Jezus houdt van alle kleine kinderen")</f>
        <v>Opw 91 Jezus houdt van alle kleine kinderen</v>
      </c>
    </row>
    <row r="93" spans="1:1" ht="13" x14ac:dyDescent="0.15">
      <c r="A93" s="4" t="str">
        <f ca="1">IFERROR(__xludf.DUMMYFUNCTION("""COMPUTED_VALUE"""),"Opw 92 Geef mij olie in mijn lamp")</f>
        <v>Opw 92 Geef mij olie in mijn lamp</v>
      </c>
    </row>
    <row r="94" spans="1:1" ht="13" x14ac:dyDescent="0.15">
      <c r="A94" s="4" t="str">
        <f ca="1">IFERROR(__xludf.DUMMYFUNCTION("""COMPUTED_VALUE"""),"Opw 93 Jezus overwon de dood")</f>
        <v>Opw 93 Jezus overwon de dood</v>
      </c>
    </row>
    <row r="95" spans="1:1" ht="13" x14ac:dyDescent="0.15">
      <c r="A95" s="4" t="str">
        <f ca="1">IFERROR(__xludf.DUMMYFUNCTION("""COMPUTED_VALUE"""),"Opw 94 Heel mijn leven wil ik wijden")</f>
        <v>Opw 94 Heel mijn leven wil ik wijden</v>
      </c>
    </row>
    <row r="96" spans="1:1" ht="13" x14ac:dyDescent="0.15">
      <c r="A96" s="4" t="str">
        <f ca="1">IFERROR(__xludf.DUMMYFUNCTION("""COMPUTED_VALUE"""),"Opw 95 Als j' een echte christen bent")</f>
        <v>Opw 95 Als j' een echte christen bent</v>
      </c>
    </row>
    <row r="97" spans="1:1" ht="13" x14ac:dyDescent="0.15">
      <c r="A97" s="4" t="str">
        <f ca="1">IFERROR(__xludf.DUMMYFUNCTION("""COMPUTED_VALUE"""),"Opw 96 Ik vouw mijn handen, Heer")</f>
        <v>Opw 96 Ik vouw mijn handen, Heer</v>
      </c>
    </row>
    <row r="98" spans="1:1" ht="13" x14ac:dyDescent="0.15">
      <c r="A98" s="4" t="str">
        <f ca="1">IFERROR(__xludf.DUMMYFUNCTION("""COMPUTED_VALUE"""),"Opw 97 De vensters des hemels zijn open")</f>
        <v>Opw 97 De vensters des hemels zijn open</v>
      </c>
    </row>
    <row r="99" spans="1:1" ht="13" x14ac:dyDescent="0.15">
      <c r="A99" s="4" t="str">
        <f ca="1">IFERROR(__xludf.DUMMYFUNCTION("""COMPUTED_VALUE"""),"Opw 98 Eens was ik onverschillig")</f>
        <v>Opw 98 Eens was ik onverschillig</v>
      </c>
    </row>
    <row r="100" spans="1:1" ht="13" x14ac:dyDescent="0.15">
      <c r="A100" s="4" t="str">
        <f ca="1">IFERROR(__xludf.DUMMYFUNCTION("""COMPUTED_VALUE"""),"Opw 99 Volgen wil ik U, o trouwe Heer")</f>
        <v>Opw 99 Volgen wil ik U, o trouwe Heer</v>
      </c>
    </row>
    <row r="101" spans="1:1" ht="13" x14ac:dyDescent="0.15">
      <c r="A101" s="4" t="str">
        <f ca="1">IFERROR(__xludf.DUMMYFUNCTION("""COMPUTED_VALUE"""),"Opw 100 Hohohohosanna")</f>
        <v>Opw 100 Hohohohosanna</v>
      </c>
    </row>
    <row r="102" spans="1:1" ht="13" x14ac:dyDescent="0.15">
      <c r="A102" s="4" t="str">
        <f ca="1">IFERROR(__xludf.DUMMYFUNCTION("""COMPUTED_VALUE"""),"Opw 101 Ik ben zo blij, dat 'k een kind")</f>
        <v>Opw 101 Ik ben zo blij, dat 'k een kind</v>
      </c>
    </row>
    <row r="103" spans="1:1" ht="13" x14ac:dyDescent="0.15">
      <c r="A103" s="4" t="str">
        <f ca="1">IFERROR(__xludf.DUMMYFUNCTION("""COMPUTED_VALUE"""),"Opw 102 Amen, prijs de Heer")</f>
        <v>Opw 102 Amen, prijs de Heer</v>
      </c>
    </row>
    <row r="104" spans="1:1" ht="13" x14ac:dyDescent="0.15">
      <c r="A104" s="4" t="str">
        <f ca="1">IFERROR(__xludf.DUMMYFUNCTION("""COMPUTED_VALUE"""),"Opw 103 David met zijn slinger")</f>
        <v>Opw 103 David met zijn slinger</v>
      </c>
    </row>
    <row r="105" spans="1:1" ht="13" x14ac:dyDescent="0.15">
      <c r="A105" s="4" t="str">
        <f ca="1">IFERROR(__xludf.DUMMYFUNCTION("""COMPUTED_VALUE"""),"Opw 104 Weet je wel, o christen")</f>
        <v>Opw 104 Weet je wel, o christen</v>
      </c>
    </row>
    <row r="106" spans="1:1" ht="13" x14ac:dyDescent="0.15">
      <c r="A106" s="4" t="str">
        <f ca="1">IFERROR(__xludf.DUMMYFUNCTION("""COMPUTED_VALUE"""),"Opw 105 Alles wat ik heb")</f>
        <v>Opw 105 Alles wat ik heb</v>
      </c>
    </row>
    <row r="107" spans="1:1" ht="13" x14ac:dyDescent="0.15">
      <c r="A107" s="4" t="str">
        <f ca="1">IFERROR(__xludf.DUMMYFUNCTION("""COMPUTED_VALUE"""),"Opw 106 Gezegend Hij, die komt")</f>
        <v>Opw 106 Gezegend Hij, die komt</v>
      </c>
    </row>
    <row r="108" spans="1:1" ht="13" x14ac:dyDescent="0.15">
      <c r="A108" s="4" t="str">
        <f ca="1">IFERROR(__xludf.DUMMYFUNCTION("""COMPUTED_VALUE"""),"Opw 107 Kind'ren van Jezus")</f>
        <v>Opw 107 Kind'ren van Jezus</v>
      </c>
    </row>
    <row r="109" spans="1:1" ht="13" x14ac:dyDescent="0.15">
      <c r="A109" s="4" t="str">
        <f ca="1">IFERROR(__xludf.DUMMYFUNCTION("""COMPUTED_VALUE"""),"Opw 108 Prijst Hem, prijst Hem. Prijst Hem in de morgen")</f>
        <v>Opw 108 Prijst Hem, prijst Hem. Prijst Hem in de morgen</v>
      </c>
    </row>
    <row r="110" spans="1:1" ht="13" x14ac:dyDescent="0.15">
      <c r="A110" s="4" t="str">
        <f ca="1">IFERROR(__xludf.DUMMYFUNCTION("""COMPUTED_VALUE"""),"Opw 109 Wij zingen van Jezus")</f>
        <v>Opw 109 Wij zingen van Jezus</v>
      </c>
    </row>
    <row r="111" spans="1:1" ht="13" x14ac:dyDescent="0.15">
      <c r="A111" s="4" t="str">
        <f ca="1">IFERROR(__xludf.DUMMYFUNCTION("""COMPUTED_VALUE"""),"Opw 110 Jezus roept mij, ik zal volgen")</f>
        <v>Opw 110 Jezus roept mij, ik zal volgen</v>
      </c>
    </row>
    <row r="112" spans="1:1" ht="13" x14ac:dyDescent="0.15">
      <c r="A112" s="4" t="str">
        <f ca="1">IFERROR(__xludf.DUMMYFUNCTION("""COMPUTED_VALUE"""),"Opw 111 U houdt uw hand, grote God op deez' aard")</f>
        <v>Opw 111 U houdt uw hand, grote God op deez' aard</v>
      </c>
    </row>
    <row r="113" spans="1:1" ht="13" x14ac:dyDescent="0.15">
      <c r="A113" s="4" t="str">
        <f ca="1">IFERROR(__xludf.DUMMYFUNCTION("""COMPUTED_VALUE"""),"Opw 112 k Ben zo gelukkig")</f>
        <v>Opw 112 k Ben zo gelukkig</v>
      </c>
    </row>
    <row r="114" spans="1:1" ht="13" x14ac:dyDescent="0.15">
      <c r="A114" s="4" t="str">
        <f ca="1">IFERROR(__xludf.DUMMYFUNCTION("""COMPUTED_VALUE"""),"Opw 113 Al moet ik door het druk verkeer")</f>
        <v>Opw 113 Al moet ik door het druk verkeer</v>
      </c>
    </row>
    <row r="115" spans="1:1" ht="13" x14ac:dyDescent="0.15">
      <c r="A115" s="4" t="str">
        <f ca="1">IFERROR(__xludf.DUMMYFUNCTION("""COMPUTED_VALUE"""),"Opw 114 Looft de Heer, want Hij is goed, trouw")</f>
        <v>Opw 114 Looft de Heer, want Hij is goed, trouw</v>
      </c>
    </row>
    <row r="116" spans="1:1" ht="13" x14ac:dyDescent="0.15">
      <c r="A116" s="4" t="str">
        <f ca="1">IFERROR(__xludf.DUMMYFUNCTION("""COMPUTED_VALUE"""),"Opw 115 Heilig, heilig, heilig is de Heer onze God")</f>
        <v>Opw 115 Heilig, heilig, heilig is de Heer onze God</v>
      </c>
    </row>
    <row r="117" spans="1:1" ht="13" x14ac:dyDescent="0.15">
      <c r="A117" s="4" t="str">
        <f ca="1">IFERROR(__xludf.DUMMYFUNCTION("""COMPUTED_VALUE"""),"Opw 116 Jezus, naam boven alle naam")</f>
        <v>Opw 116 Jezus, naam boven alle naam</v>
      </c>
    </row>
    <row r="118" spans="1:1" ht="13" x14ac:dyDescent="0.15">
      <c r="A118" s="4" t="str">
        <f ca="1">IFERROR(__xludf.DUMMYFUNCTION("""COMPUTED_VALUE"""),"Opw 117 In het midden der gemeente")</f>
        <v>Opw 117 In het midden der gemeente</v>
      </c>
    </row>
    <row r="119" spans="1:1" ht="13" x14ac:dyDescent="0.15">
      <c r="A119" s="4" t="str">
        <f ca="1">IFERROR(__xludf.DUMMYFUNCTION("""COMPUTED_VALUE"""),"Opw 118 Vader, maak ons één")</f>
        <v>Opw 118 Vader, maak ons één</v>
      </c>
    </row>
    <row r="120" spans="1:1" ht="13" x14ac:dyDescent="0.15">
      <c r="A120" s="4" t="str">
        <f ca="1">IFERROR(__xludf.DUMMYFUNCTION("""COMPUTED_VALUE"""),"Opw 119 Ik zal U loven, Here")</f>
        <v>Opw 119 Ik zal U loven, Here</v>
      </c>
    </row>
    <row r="121" spans="1:1" ht="13" x14ac:dyDescent="0.15">
      <c r="A121" s="4" t="str">
        <f ca="1">IFERROR(__xludf.DUMMYFUNCTION("""COMPUTED_VALUE"""),"Opw 120 Ik verhoog U/Want U, o Heer, bent God, de Allerhoogste")</f>
        <v>Opw 120 Ik verhoog U/Want U, o Heer, bent God, de Allerhoogste</v>
      </c>
    </row>
    <row r="122" spans="1:1" ht="13" x14ac:dyDescent="0.15">
      <c r="A122" s="4" t="str">
        <f ca="1">IFERROR(__xludf.DUMMYFUNCTION("""COMPUTED_VALUE"""),"Opw 121 De Here is mijn herder")</f>
        <v>Opw 121 De Here is mijn herder</v>
      </c>
    </row>
    <row r="123" spans="1:1" ht="13" x14ac:dyDescent="0.15">
      <c r="A123" s="4" t="str">
        <f ca="1">IFERROR(__xludf.DUMMYFUNCTION("""COMPUTED_VALUE"""),"Opw 122 Ik vermag alle dingen")</f>
        <v>Opw 122 Ik vermag alle dingen</v>
      </c>
    </row>
    <row r="124" spans="1:1" ht="13" x14ac:dyDescent="0.15">
      <c r="A124" s="4" t="str">
        <f ca="1">IFERROR(__xludf.DUMMYFUNCTION("""COMPUTED_VALUE"""),"Opw 123 Groot is uw trouw")</f>
        <v>Opw 123 Groot is uw trouw</v>
      </c>
    </row>
    <row r="125" spans="1:1" ht="13" x14ac:dyDescent="0.15">
      <c r="A125" s="4" t="str">
        <f ca="1">IFERROR(__xludf.DUMMYFUNCTION("""COMPUTED_VALUE"""),"Opw 124 Ik bouw op U")</f>
        <v>Opw 124 Ik bouw op U</v>
      </c>
    </row>
    <row r="126" spans="1:1" ht="13" x14ac:dyDescent="0.15">
      <c r="A126" s="4" t="str">
        <f ca="1">IFERROR(__xludf.DUMMYFUNCTION("""COMPUTED_VALUE"""),"Opw 125 Heer, ik kom tot U, hoor naar mijn gebed")</f>
        <v>Opw 125 Heer, ik kom tot U, hoor naar mijn gebed</v>
      </c>
    </row>
    <row r="127" spans="1:1" ht="13" x14ac:dyDescent="0.15">
      <c r="A127" s="4" t="str">
        <f ca="1">IFERROR(__xludf.DUMMYFUNCTION("""COMPUTED_VALUE"""),"Opw 126 Jezus vol liefde")</f>
        <v>Opw 126 Jezus vol liefde</v>
      </c>
    </row>
    <row r="128" spans="1:1" ht="13" x14ac:dyDescent="0.15">
      <c r="A128" s="4" t="str">
        <f ca="1">IFERROR(__xludf.DUMMYFUNCTION("""COMPUTED_VALUE"""),"Opw 127 Wij eren en aanbidden U")</f>
        <v>Opw 127 Wij eren en aanbidden U</v>
      </c>
    </row>
    <row r="129" spans="1:1" ht="13" x14ac:dyDescent="0.15">
      <c r="A129" s="4" t="str">
        <f ca="1">IFERROR(__xludf.DUMMYFUNCTION("""COMPUTED_VALUE"""),"Opw 128 In my life")</f>
        <v>Opw 128 In my life</v>
      </c>
    </row>
    <row r="130" spans="1:1" ht="13" x14ac:dyDescent="0.15">
      <c r="A130" s="4" t="str">
        <f ca="1">IFERROR(__xludf.DUMMYFUNCTION("""COMPUTED_VALUE"""),"Opw 129 Ruach")</f>
        <v>Opw 129 Ruach</v>
      </c>
    </row>
    <row r="131" spans="1:1" ht="13" x14ac:dyDescent="0.15">
      <c r="A131" s="4" t="str">
        <f ca="1">IFERROR(__xludf.DUMMYFUNCTION("""COMPUTED_VALUE"""),"Opw 130 Wij prijzen U als Here")</f>
        <v>Opw 130 Wij prijzen U als Here</v>
      </c>
    </row>
    <row r="132" spans="1:1" ht="13" x14ac:dyDescent="0.15">
      <c r="A132" s="4" t="str">
        <f ca="1">IFERROR(__xludf.DUMMYFUNCTION("""COMPUTED_VALUE"""),"Opw 131 U komt de eer en glorie toe")</f>
        <v>Opw 131 U komt de eer en glorie toe</v>
      </c>
    </row>
    <row r="133" spans="1:1" ht="13" x14ac:dyDescent="0.15">
      <c r="A133" s="4" t="str">
        <f ca="1">IFERROR(__xludf.DUMMYFUNCTION("""COMPUTED_VALUE"""),"Opw 132 Verhoogt de Here, onze God")</f>
        <v>Opw 132 Verhoogt de Here, onze God</v>
      </c>
    </row>
    <row r="134" spans="1:1" ht="13" x14ac:dyDescent="0.15">
      <c r="A134" s="4" t="str">
        <f ca="1">IFERROR(__xludf.DUMMYFUNCTION("""COMPUTED_VALUE"""),"Opw 133 Hoe lieflijk is uw woning")</f>
        <v>Opw 133 Hoe lieflijk is uw woning</v>
      </c>
    </row>
    <row r="135" spans="1:1" ht="13" x14ac:dyDescent="0.15">
      <c r="A135" s="4" t="str">
        <f ca="1">IFERROR(__xludf.DUMMYFUNCTION("""COMPUTED_VALUE"""),"Opw 134 De Heer is mijn licht, mijn burcht en mijn redder")</f>
        <v>Opw 134 De Heer is mijn licht, mijn burcht en mijn redder</v>
      </c>
    </row>
    <row r="136" spans="1:1" ht="13" x14ac:dyDescent="0.15">
      <c r="A136" s="4" t="str">
        <f ca="1">IFERROR(__xludf.DUMMYFUNCTION("""COMPUTED_VALUE"""),"Opw 135 Halleluja, halleluja, Hij regeert")</f>
        <v>Opw 135 Halleluja, halleluja, Hij regeert</v>
      </c>
    </row>
    <row r="137" spans="1:1" ht="13" x14ac:dyDescent="0.15">
      <c r="A137" s="4" t="str">
        <f ca="1">IFERROR(__xludf.DUMMYFUNCTION("""COMPUTED_VALUE"""),"Opw 136 Abba, Vader, U alleen")</f>
        <v>Opw 136 Abba, Vader, U alleen</v>
      </c>
    </row>
    <row r="138" spans="1:1" ht="13" x14ac:dyDescent="0.15">
      <c r="A138" s="4" t="str">
        <f ca="1">IFERROR(__xludf.DUMMYFUNCTION("""COMPUTED_VALUE"""),"Opw 137 King of kings and Lord of lords")</f>
        <v>Opw 137 King of kings and Lord of lords</v>
      </c>
    </row>
    <row r="139" spans="1:1" ht="13" x14ac:dyDescent="0.15">
      <c r="A139" s="4" t="str">
        <f ca="1">IFERROR(__xludf.DUMMYFUNCTION("""COMPUTED_VALUE"""),"Opw 138 Kom maar, wees blij en verheugd")</f>
        <v>Opw 138 Kom maar, wees blij en verheugd</v>
      </c>
    </row>
    <row r="140" spans="1:1" ht="13" x14ac:dyDescent="0.15">
      <c r="A140" s="4" t="str">
        <f ca="1">IFERROR(__xludf.DUMMYFUNCTION("""COMPUTED_VALUE"""),"Opw 139 In moments like these")</f>
        <v>Opw 139 In moments like these</v>
      </c>
    </row>
    <row r="141" spans="1:1" ht="13" x14ac:dyDescent="0.15">
      <c r="A141" s="4" t="str">
        <f ca="1">IFERROR(__xludf.DUMMYFUNCTION("""COMPUTED_VALUE"""),"Opw 140 Hemelse Vader, wat een liefde bent U")</f>
        <v>Opw 140 Hemelse Vader, wat een liefde bent U</v>
      </c>
    </row>
    <row r="142" spans="1:1" ht="13" x14ac:dyDescent="0.15">
      <c r="A142" s="4" t="str">
        <f ca="1">IFERROR(__xludf.DUMMYFUNCTION("""COMPUTED_VALUE"""),"Opw 141 Hij is de Zoon van God")</f>
        <v>Opw 141 Hij is de Zoon van God</v>
      </c>
    </row>
    <row r="143" spans="1:1" ht="13" x14ac:dyDescent="0.15">
      <c r="A143" s="4" t="str">
        <f ca="1">IFERROR(__xludf.DUMMYFUNCTION("""COMPUTED_VALUE"""),"Opw 142 k Vertrouw op U")</f>
        <v>Opw 142 k Vertrouw op U</v>
      </c>
    </row>
    <row r="144" spans="1:1" ht="13" x14ac:dyDescent="0.15">
      <c r="A144" s="4" t="str">
        <f ca="1">IFERROR(__xludf.DUMMYFUNCTION("""COMPUTED_VALUE"""),"Opw 143 De Heer, uw God, in uw midden")</f>
        <v>Opw 143 De Heer, uw God, in uw midden</v>
      </c>
    </row>
    <row r="145" spans="1:1" ht="13" x14ac:dyDescent="0.15">
      <c r="A145" s="4" t="str">
        <f ca="1">IFERROR(__xludf.DUMMYFUNCTION("""COMPUTED_VALUE"""),"Opw 144 Want uit Hem en door Hem")</f>
        <v>Opw 144 Want uit Hem en door Hem</v>
      </c>
    </row>
    <row r="146" spans="1:1" ht="13" x14ac:dyDescent="0.15">
      <c r="A146" s="4" t="str">
        <f ca="1">IFERROR(__xludf.DUMMYFUNCTION("""COMPUTED_VALUE"""),"Opw 145 U zal ik loven, Heer")</f>
        <v>Opw 145 U zal ik loven, Heer</v>
      </c>
    </row>
    <row r="147" spans="1:1" ht="13" x14ac:dyDescent="0.15">
      <c r="A147" s="4" t="str">
        <f ca="1">IFERROR(__xludf.DUMMYFUNCTION("""COMPUTED_VALUE"""),"Opw 146 Immanuël, Immanuël")</f>
        <v>Opw 146 Immanuël, Immanuël</v>
      </c>
    </row>
    <row r="148" spans="1:1" ht="13" x14ac:dyDescent="0.15">
      <c r="A148" s="4" t="str">
        <f ca="1">IFERROR(__xludf.DUMMYFUNCTION("""COMPUTED_VALUE"""),"Opw 147 Father, we love You")</f>
        <v>Opw 147 Father, we love You</v>
      </c>
    </row>
    <row r="149" spans="1:1" ht="13" x14ac:dyDescent="0.15">
      <c r="A149" s="4" t="str">
        <f ca="1">IFERROR(__xludf.DUMMYFUNCTION("""COMPUTED_VALUE"""),"Opw 148 Gods volk wordt uitgeleid")</f>
        <v>Opw 148 Gods volk wordt uitgeleid</v>
      </c>
    </row>
    <row r="150" spans="1:1" ht="13" x14ac:dyDescent="0.15">
      <c r="A150" s="4" t="str">
        <f ca="1">IFERROR(__xludf.DUMMYFUNCTION("""COMPUTED_VALUE"""),"Opw 149 Heer, U riep mij")</f>
        <v>Opw 149 Heer, U riep mij</v>
      </c>
    </row>
    <row r="151" spans="1:1" ht="13" x14ac:dyDescent="0.15">
      <c r="A151" s="4" t="str">
        <f ca="1">IFERROR(__xludf.DUMMYFUNCTION("""COMPUTED_VALUE"""),"Opw 150 Ik hou van U")</f>
        <v>Opw 150 Ik hou van U</v>
      </c>
    </row>
    <row r="152" spans="1:1" ht="13" x14ac:dyDescent="0.15">
      <c r="A152" s="4" t="str">
        <f ca="1">IFERROR(__xludf.DUMMYFUNCTION("""COMPUTED_VALUE"""),"Opw 151 Laat ons juichen")</f>
        <v>Opw 151 Laat ons juichen</v>
      </c>
    </row>
    <row r="153" spans="1:1" ht="13" x14ac:dyDescent="0.15">
      <c r="A153" s="4" t="str">
        <f ca="1">IFERROR(__xludf.DUMMYFUNCTION("""COMPUTED_VALUE"""),"Opw 152 O komt, prijst de Heer")</f>
        <v>Opw 152 O komt, prijst de Heer</v>
      </c>
    </row>
    <row r="154" spans="1:1" ht="13" x14ac:dyDescent="0.15">
      <c r="A154" s="4" t="str">
        <f ca="1">IFERROR(__xludf.DUMMYFUNCTION("""COMPUTED_VALUE"""),"Opw 153 Prijst de Heer, want de Heer is goed")</f>
        <v>Opw 153 Prijst de Heer, want de Heer is goed</v>
      </c>
    </row>
    <row r="155" spans="1:1" ht="13" x14ac:dyDescent="0.15">
      <c r="A155" s="4" t="str">
        <f ca="1">IFERROR(__xludf.DUMMYFUNCTION("""COMPUTED_VALUE"""),"Opw 154 Weest stil en weet")</f>
        <v>Opw 154 Weest stil en weet</v>
      </c>
    </row>
    <row r="156" spans="1:1" ht="13" x14ac:dyDescent="0.15">
      <c r="A156" s="4" t="str">
        <f ca="1">IFERROR(__xludf.DUMMYFUNCTION("""COMPUTED_VALUE"""),"Opw 155 Hij is de Almachtige")</f>
        <v>Opw 155 Hij is de Almachtige</v>
      </c>
    </row>
    <row r="157" spans="1:1" ht="13" x14ac:dyDescent="0.15">
      <c r="A157" s="4" t="str">
        <f ca="1">IFERROR(__xludf.DUMMYFUNCTION("""COMPUTED_VALUE"""),"Opw 156 Ik wil zingen van mijn Heer")</f>
        <v>Opw 156 Ik wil zingen van mijn Heer</v>
      </c>
    </row>
    <row r="158" spans="1:1" ht="13" x14ac:dyDescent="0.15">
      <c r="A158" s="4" t="str">
        <f ca="1">IFERROR(__xludf.DUMMYFUNCTION("""COMPUTED_VALUE"""),"Opw 157 Ik verblijd mij zeer in de Heer")</f>
        <v>Opw 157 Ik verblijd mij zeer in de Heer</v>
      </c>
    </row>
    <row r="159" spans="1:1" ht="13" x14ac:dyDescent="0.15">
      <c r="A159" s="4" t="str">
        <f ca="1">IFERROR(__xludf.DUMMYFUNCTION("""COMPUTED_VALUE"""),"Opw 158 Gij zijt mijn God")</f>
        <v>Opw 158 Gij zijt mijn God</v>
      </c>
    </row>
    <row r="160" spans="1:1" ht="13" x14ac:dyDescent="0.15">
      <c r="A160" s="4" t="str">
        <f ca="1">IFERROR(__xludf.DUMMYFUNCTION("""COMPUTED_VALUE"""),"Opw 159 Here der heren")</f>
        <v>Opw 159 Here der heren</v>
      </c>
    </row>
    <row r="161" spans="1:1" ht="13" x14ac:dyDescent="0.15">
      <c r="A161" s="4" t="str">
        <f ca="1">IFERROR(__xludf.DUMMYFUNCTION("""COMPUTED_VALUE"""),"Opw 160 Don't build your house")</f>
        <v>Opw 160 Don't build your house</v>
      </c>
    </row>
    <row r="162" spans="1:1" ht="13" x14ac:dyDescent="0.15">
      <c r="A162" s="4" t="str">
        <f ca="1">IFERROR(__xludf.DUMMYFUNCTION("""COMPUTED_VALUE"""),"Opw 161 Heer, geef mij ook uw waterbronnen")</f>
        <v>Opw 161 Heer, geef mij ook uw waterbronnen</v>
      </c>
    </row>
    <row r="163" spans="1:1" ht="13" x14ac:dyDescent="0.15">
      <c r="A163" s="4" t="str">
        <f ca="1">IFERROR(__xludf.DUMMYFUNCTION("""COMPUTED_VALUE"""),"Opw 162 k Zal U loven, o Heer")</f>
        <v>Opw 162 k Zal U loven, o Heer</v>
      </c>
    </row>
    <row r="164" spans="1:1" ht="13" x14ac:dyDescent="0.15">
      <c r="A164" s="4" t="str">
        <f ca="1">IFERROR(__xludf.DUMMYFUNCTION("""COMPUTED_VALUE"""),"Opw 163 O, Heer, U bent groot en almachtig")</f>
        <v>Opw 163 O, Heer, U bent groot en almachtig</v>
      </c>
    </row>
    <row r="165" spans="1:1" ht="13" x14ac:dyDescent="0.15">
      <c r="A165" s="4" t="str">
        <f ca="1">IFERROR(__xludf.DUMMYFUNCTION("""COMPUTED_VALUE"""),"Opw 164 O, komt, aanbidt")</f>
        <v>Opw 164 O, komt, aanbidt</v>
      </c>
    </row>
    <row r="166" spans="1:1" ht="13" x14ac:dyDescent="0.15">
      <c r="A166" s="4" t="str">
        <f ca="1">IFERROR(__xludf.DUMMYFUNCTION("""COMPUTED_VALUE"""),"Opw 165 Omdat we in U geloven")</f>
        <v>Opw 165 Omdat we in U geloven</v>
      </c>
    </row>
    <row r="167" spans="1:1" ht="13" x14ac:dyDescent="0.15">
      <c r="A167" s="4" t="str">
        <f ca="1">IFERROR(__xludf.DUMMYFUNCTION("""COMPUTED_VALUE"""),"Opw 166 U bent de grote Koning")</f>
        <v>Opw 166 U bent de grote Koning</v>
      </c>
    </row>
    <row r="168" spans="1:1" ht="13" x14ac:dyDescent="0.15">
      <c r="A168" s="4" t="str">
        <f ca="1">IFERROR(__xludf.DUMMYFUNCTION("""COMPUTED_VALUE"""),"Opw 167 Samen in de naam van Jezus")</f>
        <v>Opw 167 Samen in de naam van Jezus</v>
      </c>
    </row>
    <row r="169" spans="1:1" ht="13" x14ac:dyDescent="0.15">
      <c r="A169" s="4" t="str">
        <f ca="1">IFERROR(__xludf.DUMMYFUNCTION("""COMPUTED_VALUE"""),"Opw 168 Wij zien Jezus nu gekroond")</f>
        <v>Opw 168 Wij zien Jezus nu gekroond</v>
      </c>
    </row>
    <row r="170" spans="1:1" ht="13" x14ac:dyDescent="0.15">
      <c r="A170" s="4" t="str">
        <f ca="1">IFERROR(__xludf.DUMMYFUNCTION("""COMPUTED_VALUE"""),"Opw 169 Ik leef omdat mijn Heer is verrezen")</f>
        <v>Opw 169 Ik leef omdat mijn Heer is verrezen</v>
      </c>
    </row>
    <row r="171" spans="1:1" ht="13" x14ac:dyDescent="0.15">
      <c r="A171" s="4" t="str">
        <f ca="1">IFERROR(__xludf.DUMMYFUNCTION("""COMPUTED_VALUE"""),"Opw 170 Jezus, Jezus, uw liefde raakte mij aan")</f>
        <v>Opw 170 Jezus, Jezus, uw liefde raakte mij aan</v>
      </c>
    </row>
    <row r="172" spans="1:1" ht="13" x14ac:dyDescent="0.15">
      <c r="A172" s="4" t="str">
        <f ca="1">IFERROR(__xludf.DUMMYFUNCTION("""COMPUTED_VALUE"""),"Opw 171 Door mijn God zal 'k strijdend")</f>
        <v>Opw 171 Door mijn God zal 'k strijdend</v>
      </c>
    </row>
    <row r="173" spans="1:1" ht="13" x14ac:dyDescent="0.15">
      <c r="A173" s="4" t="str">
        <f ca="1">IFERROR(__xludf.DUMMYFUNCTION("""COMPUTED_VALUE"""),"Opw 172 Heer, ik verheug m'in U en ik juich")</f>
        <v>Opw 172 Heer, ik verheug m'in U en ik juich</v>
      </c>
    </row>
    <row r="174" spans="1:1" ht="13" x14ac:dyDescent="0.15">
      <c r="A174" s="4" t="str">
        <f ca="1">IFERROR(__xludf.DUMMYFUNCTION("""COMPUTED_VALUE"""),"Opw 173 Heilig is de Heer")</f>
        <v>Opw 173 Heilig is de Heer</v>
      </c>
    </row>
    <row r="175" spans="1:1" ht="13" x14ac:dyDescent="0.15">
      <c r="A175" s="4" t="str">
        <f ca="1">IFERROR(__xludf.DUMMYFUNCTION("""COMPUTED_VALUE"""),"Opw 174 Juicht, want Jezus is Heer")</f>
        <v>Opw 174 Juicht, want Jezus is Heer</v>
      </c>
    </row>
    <row r="176" spans="1:1" ht="13" x14ac:dyDescent="0.15">
      <c r="A176" s="4" t="str">
        <f ca="1">IFERROR(__xludf.DUMMYFUNCTION("""COMPUTED_VALUE"""),"Opw 175 In de stilte van mijn hart")</f>
        <v>Opw 175 In de stilte van mijn hart</v>
      </c>
    </row>
    <row r="177" spans="1:1" ht="13" x14ac:dyDescent="0.15">
      <c r="A177" s="4" t="str">
        <f ca="1">IFERROR(__xludf.DUMMYFUNCTION("""COMPUTED_VALUE"""),"Opw 176 U bent mijn schuilplaats Heer")</f>
        <v>Opw 176 U bent mijn schuilplaats Heer</v>
      </c>
    </row>
    <row r="178" spans="1:1" ht="13" x14ac:dyDescent="0.15">
      <c r="A178" s="4" t="str">
        <f ca="1">IFERROR(__xludf.DUMMYFUNCTION("""COMPUTED_VALUE"""),"Opw 177 Bedenk al wat waar is")</f>
        <v>Opw 177 Bedenk al wat waar is</v>
      </c>
    </row>
    <row r="179" spans="1:1" ht="13" x14ac:dyDescent="0.15">
      <c r="A179" s="4" t="str">
        <f ca="1">IFERROR(__xludf.DUMMYFUNCTION("""COMPUTED_VALUE"""),"Opw 178 Waardig, o waardig bent U, Heer")</f>
        <v>Opw 178 Waardig, o waardig bent U, Heer</v>
      </c>
    </row>
    <row r="180" spans="1:1" ht="13" x14ac:dyDescent="0.15">
      <c r="A180" s="4" t="str">
        <f ca="1">IFERROR(__xludf.DUMMYFUNCTION("""COMPUTED_VALUE"""),"Opw 179 k Hef mijn roep tot U, o Heer")</f>
        <v>Opw 179 k Hef mijn roep tot U, o Heer</v>
      </c>
    </row>
    <row r="181" spans="1:1" ht="13" x14ac:dyDescent="0.15">
      <c r="A181" s="4" t="str">
        <f ca="1">IFERROR(__xludf.DUMMYFUNCTION("""COMPUTED_VALUE"""),"Opw 180 Bron van licht en leven")</f>
        <v>Opw 180 Bron van licht en leven</v>
      </c>
    </row>
    <row r="182" spans="1:1" ht="13" x14ac:dyDescent="0.15">
      <c r="A182" s="4" t="str">
        <f ca="1">IFERROR(__xludf.DUMMYFUNCTION("""COMPUTED_VALUE"""),"Opw 181 Majesteit")</f>
        <v>Opw 181 Majesteit</v>
      </c>
    </row>
    <row r="183" spans="1:1" ht="13" x14ac:dyDescent="0.15">
      <c r="A183" s="4" t="str">
        <f ca="1">IFERROR(__xludf.DUMMYFUNCTION("""COMPUTED_VALUE"""),"Opw 182 O, Heer, U bent mijn God")</f>
        <v>Opw 182 O, Heer, U bent mijn God</v>
      </c>
    </row>
    <row r="184" spans="1:1" ht="13" x14ac:dyDescent="0.15">
      <c r="A184" s="4" t="str">
        <f ca="1">IFERROR(__xludf.DUMMYFUNCTION("""COMPUTED_VALUE"""),"Opw 183 U mag ik kennen o Heer")</f>
        <v>Opw 183 U mag ik kennen o Heer</v>
      </c>
    </row>
    <row r="185" spans="1:1" ht="13" x14ac:dyDescent="0.15">
      <c r="A185" s="4" t="str">
        <f ca="1">IFERROR(__xludf.DUMMYFUNCTION("""COMPUTED_VALUE"""),"Opw 184 Wie op de Heer vertrouwen")</f>
        <v>Opw 184 Wie op de Heer vertrouwen</v>
      </c>
    </row>
    <row r="186" spans="1:1" ht="13" x14ac:dyDescent="0.15">
      <c r="A186" s="4" t="str">
        <f ca="1">IFERROR(__xludf.DUMMYFUNCTION("""COMPUTED_VALUE"""),"Opw 185 Jezus is de Heer, Koning voor altijd")</f>
        <v>Opw 185 Jezus is de Heer, Koning voor altijd</v>
      </c>
    </row>
    <row r="187" spans="1:1" ht="13" x14ac:dyDescent="0.15">
      <c r="A187" s="4" t="str">
        <f ca="1">IFERROR(__xludf.DUMMYFUNCTION("""COMPUTED_VALUE"""),"Opw 186 Hoe lieflijk op de bergen")</f>
        <v>Opw 186 Hoe lieflijk op de bergen</v>
      </c>
    </row>
    <row r="188" spans="1:1" ht="13" x14ac:dyDescent="0.15">
      <c r="A188" s="4" t="str">
        <f ca="1">IFERROR(__xludf.DUMMYFUNCTION("""COMPUTED_VALUE"""),"Opw 187 Open mijn ogen, 'k wil Jezus, mijn Heer zien")</f>
        <v>Opw 187 Open mijn ogen, 'k wil Jezus, mijn Heer zien</v>
      </c>
    </row>
    <row r="189" spans="1:1" ht="13" x14ac:dyDescent="0.15">
      <c r="A189" s="4" t="str">
        <f ca="1">IFERROR(__xludf.DUMMYFUNCTION("""COMPUTED_VALUE"""),"Opw 188 Laat de heerlijkheid des Heren")</f>
        <v>Opw 188 Laat de heerlijkheid des Heren</v>
      </c>
    </row>
    <row r="190" spans="1:1" ht="13" x14ac:dyDescent="0.15">
      <c r="A190" s="4" t="str">
        <f ca="1">IFERROR(__xludf.DUMMYFUNCTION("""COMPUTED_VALUE"""),"Opw 189 Zegen ons Heer")</f>
        <v>Opw 189 Zegen ons Heer</v>
      </c>
    </row>
    <row r="191" spans="1:1" ht="13" x14ac:dyDescent="0.15">
      <c r="A191" s="4" t="str">
        <f ca="1">IFERROR(__xludf.DUMMYFUNCTION("""COMPUTED_VALUE"""),"Opw 190 Waarlijk, mijn ziel")</f>
        <v>Opw 190 Waarlijk, mijn ziel</v>
      </c>
    </row>
    <row r="192" spans="1:1" ht="13" x14ac:dyDescent="0.15">
      <c r="A192" s="4" t="str">
        <f ca="1">IFERROR(__xludf.DUMMYFUNCTION("""COMPUTED_VALUE"""),"Opw 191 Kom en prijs de Here, onze God")</f>
        <v>Opw 191 Kom en prijs de Here, onze God</v>
      </c>
    </row>
    <row r="193" spans="1:1" ht="13" x14ac:dyDescent="0.15">
      <c r="A193" s="4" t="str">
        <f ca="1">IFERROR(__xludf.DUMMYFUNCTION("""COMPUTED_VALUE"""),"Opw 192 Ik kom in uw heiligdom binnen")</f>
        <v>Opw 192 Ik kom in uw heiligdom binnen</v>
      </c>
    </row>
    <row r="194" spans="1:1" ht="13" x14ac:dyDescent="0.15">
      <c r="A194" s="4" t="str">
        <f ca="1">IFERROR(__xludf.DUMMYFUNCTION("""COMPUTED_VALUE"""),"Opw 193 Toon ons uw macht, o God")</f>
        <v>Opw 193 Toon ons uw macht, o God</v>
      </c>
    </row>
    <row r="195" spans="1:1" ht="13" x14ac:dyDescent="0.15">
      <c r="A195" s="4" t="str">
        <f ca="1">IFERROR(__xludf.DUMMYFUNCTION("""COMPUTED_VALUE"""),"Opw 194 U maakt ons één")</f>
        <v>Opw 194 U maakt ons één</v>
      </c>
    </row>
    <row r="196" spans="1:1" ht="13" x14ac:dyDescent="0.15">
      <c r="A196" s="4" t="str">
        <f ca="1">IFERROR(__xludf.DUMMYFUNCTION("""COMPUTED_VALUE"""),"Opw 195 U, o Heer, bent een schild")</f>
        <v>Opw 195 U, o Heer, bent een schild</v>
      </c>
    </row>
    <row r="197" spans="1:1" ht="13" x14ac:dyDescent="0.15">
      <c r="A197" s="4" t="str">
        <f ca="1">IFERROR(__xludf.DUMMYFUNCTION("""COMPUTED_VALUE"""),"Opw 196 Zing een lied tot de Heer")</f>
        <v>Opw 196 Zing een lied tot de Heer</v>
      </c>
    </row>
    <row r="198" spans="1:1" ht="13" x14ac:dyDescent="0.15">
      <c r="A198" s="4" t="str">
        <f ca="1">IFERROR(__xludf.DUMMYFUNCTION("""COMPUTED_VALUE"""),"Opw 197 Heer, U bent wonderschoon")</f>
        <v>Opw 197 Heer, U bent wonderschoon</v>
      </c>
    </row>
    <row r="199" spans="1:1" ht="13" x14ac:dyDescent="0.15">
      <c r="A199" s="4" t="str">
        <f ca="1">IFERROR(__xludf.DUMMYFUNCTION("""COMPUTED_VALUE"""),"Opw 198 Laat ons loflied voor U zijn als reukwerk")</f>
        <v>Opw 198 Laat ons loflied voor U zijn als reukwerk</v>
      </c>
    </row>
    <row r="200" spans="1:1" ht="13" x14ac:dyDescent="0.15">
      <c r="A200" s="4" t="str">
        <f ca="1">IFERROR(__xludf.DUMMYFUNCTION("""COMPUTED_VALUE"""),"Opw 199 Eer aan het Lam")</f>
        <v>Opw 199 Eer aan het Lam</v>
      </c>
    </row>
    <row r="201" spans="1:1" ht="13" x14ac:dyDescent="0.15">
      <c r="A201" s="4" t="str">
        <f ca="1">IFERROR(__xludf.DUMMYFUNCTION("""COMPUTED_VALUE"""),"Opw 200 Geloofd zijt Gij, o Heer")</f>
        <v>Opw 200 Geloofd zijt Gij, o Heer</v>
      </c>
    </row>
    <row r="202" spans="1:1" ht="13" x14ac:dyDescent="0.15">
      <c r="A202" s="4" t="str">
        <f ca="1">IFERROR(__xludf.DUMMYFUNCTION("""COMPUTED_VALUE"""),"Opw 201 Wij danken U, Heer God almachtig")</f>
        <v>Opw 201 Wij danken U, Heer God almachtig</v>
      </c>
    </row>
    <row r="203" spans="1:1" ht="13" x14ac:dyDescent="0.15">
      <c r="A203" s="4" t="str">
        <f ca="1">IFERROR(__xludf.DUMMYFUNCTION("""COMPUTED_VALUE"""),"Opw 202 De Heer leert hoe ik strijden moet")</f>
        <v>Opw 202 De Heer leert hoe ik strijden moet</v>
      </c>
    </row>
    <row r="204" spans="1:1" ht="13" x14ac:dyDescent="0.15">
      <c r="A204" s="4" t="str">
        <f ca="1">IFERROR(__xludf.DUMMYFUNCTION("""COMPUTED_VALUE"""),"Opw 203 Ik wil U prijzen Heer")</f>
        <v>Opw 203 Ik wil U prijzen Heer</v>
      </c>
    </row>
    <row r="205" spans="1:1" ht="13" x14ac:dyDescent="0.15">
      <c r="A205" s="4" t="str">
        <f ca="1">IFERROR(__xludf.DUMMYFUNCTION("""COMPUTED_VALUE"""),"Opw 204 Maak mij zoals U, Heer")</f>
        <v>Opw 204 Maak mij zoals U, Heer</v>
      </c>
    </row>
    <row r="206" spans="1:1" ht="13" x14ac:dyDescent="0.15">
      <c r="A206" s="4" t="str">
        <f ca="1">IFERROR(__xludf.DUMMYFUNCTION("""COMPUTED_VALUE"""),"Opw 205 U Heer, bent wonderschoon")</f>
        <v>Opw 205 U Heer, bent wonderschoon</v>
      </c>
    </row>
    <row r="207" spans="1:1" ht="13" x14ac:dyDescent="0.15">
      <c r="A207" s="4" t="str">
        <f ca="1">IFERROR(__xludf.DUMMYFUNCTION("""COMPUTED_VALUE"""),"Opw 206 Dank U Jezus, dank U Jezus")</f>
        <v>Opw 206 Dank U Jezus, dank U Jezus</v>
      </c>
    </row>
    <row r="208" spans="1:1" ht="13" x14ac:dyDescent="0.15">
      <c r="A208" s="4" t="str">
        <f ca="1">IFERROR(__xludf.DUMMYFUNCTION("""COMPUTED_VALUE"""),"Opw 207 Welzalig Hij, wiens God de Here is/Mijn God, ik zal U verhogen")</f>
        <v>Opw 207 Welzalig Hij, wiens God de Here is/Mijn God, ik zal U verhogen</v>
      </c>
    </row>
    <row r="209" spans="1:1" ht="13" x14ac:dyDescent="0.15">
      <c r="A209" s="4" t="str">
        <f ca="1">IFERROR(__xludf.DUMMYFUNCTION("""COMPUTED_VALUE"""),"Opw 208 En ik zag en hoorde een stem")</f>
        <v>Opw 208 En ik zag en hoorde een stem</v>
      </c>
    </row>
    <row r="210" spans="1:1" ht="13" x14ac:dyDescent="0.15">
      <c r="A210" s="4" t="str">
        <f ca="1">IFERROR(__xludf.DUMMYFUNCTION("""COMPUTED_VALUE"""),"Opw 209 Zing halleluja en hef in geloof")</f>
        <v>Opw 209 Zing halleluja en hef in geloof</v>
      </c>
    </row>
    <row r="211" spans="1:1" ht="13" x14ac:dyDescent="0.15">
      <c r="A211" s="4" t="str">
        <f ca="1">IFERROR(__xludf.DUMMYFUNCTION("""COMPUTED_VALUE"""),"Opw 210 Wie is aan U gelijk")</f>
        <v>Opw 210 Wie is aan U gelijk</v>
      </c>
    </row>
    <row r="212" spans="1:1" ht="13" x14ac:dyDescent="0.15">
      <c r="A212" s="4" t="str">
        <f ca="1">IFERROR(__xludf.DUMMYFUNCTION("""COMPUTED_VALUE"""),"Opw 211 O, die zaal'ge vreugd")</f>
        <v>Opw 211 O, die zaal'ge vreugd</v>
      </c>
    </row>
    <row r="213" spans="1:1" ht="13" x14ac:dyDescent="0.15">
      <c r="A213" s="4" t="str">
        <f ca="1">IFERROR(__xludf.DUMMYFUNCTION("""COMPUTED_VALUE"""),"Opw 212 Ziet de dag is daar")</f>
        <v>Opw 212 Ziet de dag is daar</v>
      </c>
    </row>
    <row r="214" spans="1:1" ht="13" x14ac:dyDescent="0.15">
      <c r="A214" s="4" t="str">
        <f ca="1">IFERROR(__xludf.DUMMYFUNCTION("""COMPUTED_VALUE"""),"Opw 213 U zij de glorie opgestane Heer")</f>
        <v>Opw 213 U zij de glorie opgestane Heer</v>
      </c>
    </row>
    <row r="215" spans="1:1" ht="13" x14ac:dyDescent="0.15">
      <c r="A215" s="4" t="str">
        <f ca="1">IFERROR(__xludf.DUMMYFUNCTION("""COMPUTED_VALUE"""),"Opw 214 Ik wandel in het licht met Jezus")</f>
        <v>Opw 214 Ik wandel in het licht met Jezus</v>
      </c>
    </row>
    <row r="216" spans="1:1" ht="13" x14ac:dyDescent="0.15">
      <c r="A216" s="4" t="str">
        <f ca="1">IFERROR(__xludf.DUMMYFUNCTION("""COMPUTED_VALUE"""),"Opw 215 De Heer is mijn herder en geen ding")</f>
        <v>Opw 215 De Heer is mijn herder en geen ding</v>
      </c>
    </row>
    <row r="217" spans="1:1" ht="13" x14ac:dyDescent="0.15">
      <c r="A217" s="4" t="str">
        <f ca="1">IFERROR(__xludf.DUMMYFUNCTION("""COMPUTED_VALUE"""),"Opw 216 Staand' op de beloften")</f>
        <v>Opw 216 Staand' op de beloften</v>
      </c>
    </row>
    <row r="218" spans="1:1" ht="13" x14ac:dyDescent="0.15">
      <c r="A218" s="4" t="str">
        <f ca="1">IFERROR(__xludf.DUMMYFUNCTION("""COMPUTED_VALUE"""),"Opw 217 O, welk een wond're Verlosser")</f>
        <v>Opw 217 O, welk een wond're Verlosser</v>
      </c>
    </row>
    <row r="219" spans="1:1" ht="13" x14ac:dyDescent="0.15">
      <c r="A219" s="4" t="str">
        <f ca="1">IFERROR(__xludf.DUMMYFUNCTION("""COMPUTED_VALUE"""),"Opw 218 Is hier een hart, door vrees benard")</f>
        <v>Opw 218 Is hier een hart, door vrees benard</v>
      </c>
    </row>
    <row r="220" spans="1:1" ht="13" x14ac:dyDescent="0.15">
      <c r="A220" s="4" t="str">
        <f ca="1">IFERROR(__xludf.DUMMYFUNCTION("""COMPUTED_VALUE"""),"Opw 219 Juicht, aarde! Juicht alom de Heer")</f>
        <v>Opw 219 Juicht, aarde! Juicht alom de Heer</v>
      </c>
    </row>
    <row r="221" spans="1:1" ht="13" x14ac:dyDescent="0.15">
      <c r="A221" s="4" t="str">
        <f ca="1">IFERROR(__xludf.DUMMYFUNCTION("""COMPUTED_VALUE"""),"Opw 220 Volle verzeek'ring, Jezus is mijn!")</f>
        <v>Opw 220 Volle verzeek'ring, Jezus is mijn!</v>
      </c>
    </row>
    <row r="222" spans="1:1" ht="13" x14ac:dyDescent="0.15">
      <c r="A222" s="4" t="str">
        <f ca="1">IFERROR(__xludf.DUMMYFUNCTION("""COMPUTED_VALUE"""),"Opw 221 Prijst de Heer met blijde galmen")</f>
        <v>Opw 221 Prijst de Heer met blijde galmen</v>
      </c>
    </row>
    <row r="223" spans="1:1" ht="13" x14ac:dyDescent="0.15">
      <c r="A223" s="4" t="str">
        <f ca="1">IFERROR(__xludf.DUMMYFUNCTION("""COMPUTED_VALUE"""),"Opw 222 Doorgrond mijn hart")</f>
        <v>Opw 222 Doorgrond mijn hart</v>
      </c>
    </row>
    <row r="224" spans="1:1" ht="13" x14ac:dyDescent="0.15">
      <c r="A224" s="4" t="str">
        <f ca="1">IFERROR(__xludf.DUMMYFUNCTION("""COMPUTED_VALUE"""),"Opw 223 Jezus, uw naam zij d'hoogste eer")</f>
        <v>Opw 223 Jezus, uw naam zij d'hoogste eer</v>
      </c>
    </row>
    <row r="225" spans="1:1" ht="13" x14ac:dyDescent="0.15">
      <c r="A225" s="4" t="str">
        <f ca="1">IFERROR(__xludf.DUMMYFUNCTION("""COMPUTED_VALUE"""),"Opw 224 Komt, laat ons zingen al te zaam")</f>
        <v>Opw 224 Komt, laat ons zingen al te zaam</v>
      </c>
    </row>
    <row r="226" spans="1:1" ht="13" x14ac:dyDescent="0.15">
      <c r="A226" s="4" t="str">
        <f ca="1">IFERROR(__xludf.DUMMYFUNCTION("""COMPUTED_VALUE"""),"Opw 225 Verblijdt u in Jezus, uw Heer")</f>
        <v>Opw 225 Verblijdt u in Jezus, uw Heer</v>
      </c>
    </row>
    <row r="227" spans="1:1" ht="13" x14ac:dyDescent="0.15">
      <c r="A227" s="4" t="str">
        <f ca="1">IFERROR(__xludf.DUMMYFUNCTION("""COMPUTED_VALUE"""),"Opw 226 Ik wil zingen van mijn Heiland")</f>
        <v>Opw 226 Ik wil zingen van mijn Heiland</v>
      </c>
    </row>
    <row r="228" spans="1:1" ht="13" x14ac:dyDescent="0.15">
      <c r="A228" s="4" t="str">
        <f ca="1">IFERROR(__xludf.DUMMYFUNCTION("""COMPUTED_VALUE"""),"Opw 227 O heilig Lam van God")</f>
        <v>Opw 227 O heilig Lam van God</v>
      </c>
    </row>
    <row r="229" spans="1:1" ht="13" x14ac:dyDescent="0.15">
      <c r="A229" s="4" t="str">
        <f ca="1">IFERROR(__xludf.DUMMYFUNCTION("""COMPUTED_VALUE"""),"Opw 228 Wij zijn hier bijeen in Jezus' naam")</f>
        <v>Opw 228 Wij zijn hier bijeen in Jezus' naam</v>
      </c>
    </row>
    <row r="230" spans="1:1" ht="13" x14ac:dyDescent="0.15">
      <c r="A230" s="4" t="str">
        <f ca="1">IFERROR(__xludf.DUMMYFUNCTION("""COMPUTED_VALUE"""),"Opw 229 O, geeft aan de Heer")</f>
        <v>Opw 229 O, geeft aan de Heer</v>
      </c>
    </row>
    <row r="231" spans="1:1" ht="13" x14ac:dyDescent="0.15">
      <c r="A231" s="4" t="str">
        <f ca="1">IFERROR(__xludf.DUMMYFUNCTION("""COMPUTED_VALUE"""),"Opw 230 Want Ik maak Mij een geest'lijke tempel")</f>
        <v>Opw 230 Want Ik maak Mij een geest'lijke tempel</v>
      </c>
    </row>
    <row r="232" spans="1:1" ht="13" x14ac:dyDescent="0.15">
      <c r="A232" s="4" t="str">
        <f ca="1">IFERROR(__xludf.DUMMYFUNCTION("""COMPUTED_VALUE"""),"Opw 231 Als wij zingend komen voor zijn majesteit")</f>
        <v>Opw 231 Als wij zingend komen voor zijn majesteit</v>
      </c>
    </row>
    <row r="233" spans="1:1" ht="13" x14ac:dyDescent="0.15">
      <c r="A233" s="4" t="str">
        <f ca="1">IFERROR(__xludf.DUMMYFUNCTION("""COMPUTED_VALUE"""),"Opw 232 Lof, eer, aanbidding voor U, Heer Jezus")</f>
        <v>Opw 232 Lof, eer, aanbidding voor U, Heer Jezus</v>
      </c>
    </row>
    <row r="234" spans="1:1" ht="13" x14ac:dyDescent="0.15">
      <c r="A234" s="4" t="str">
        <f ca="1">IFERROR(__xludf.DUMMYFUNCTION("""COMPUTED_VALUE"""),"Opw 233 Koning Jezus, heers")</f>
        <v>Opw 233 Koning Jezus, heers</v>
      </c>
    </row>
    <row r="235" spans="1:1" ht="13" x14ac:dyDescent="0.15">
      <c r="A235" s="4" t="str">
        <f ca="1">IFERROR(__xludf.DUMMYFUNCTION("""COMPUTED_VALUE"""),"Opw 234 Komt nu zijn poorten met dankzegging binnen")</f>
        <v>Opw 234 Komt nu zijn poorten met dankzegging binnen</v>
      </c>
    </row>
    <row r="236" spans="1:1" ht="13" x14ac:dyDescent="0.15">
      <c r="A236" s="4" t="str">
        <f ca="1">IFERROR(__xludf.DUMMYFUNCTION("""COMPUTED_VALUE"""),"Opw 235 t Is nu het uur")</f>
        <v>Opw 235 t Is nu het uur</v>
      </c>
    </row>
    <row r="237" spans="1:1" ht="13" x14ac:dyDescent="0.15">
      <c r="A237" s="4" t="str">
        <f ca="1">IFERROR(__xludf.DUMMYFUNCTION("""COMPUTED_VALUE"""),"Opw 236 Heilig, heilig, heilig, Here God almachtig")</f>
        <v>Opw 236 Heilig, heilig, heilig, Here God almachtig</v>
      </c>
    </row>
    <row r="238" spans="1:1" ht="13" x14ac:dyDescent="0.15">
      <c r="A238" s="4" t="str">
        <f ca="1">IFERROR(__xludf.DUMMYFUNCTION("""COMPUTED_VALUE"""),"Opw 237 Jezus, wij verhogen U")</f>
        <v>Opw 237 Jezus, wij verhogen U</v>
      </c>
    </row>
    <row r="239" spans="1:1" ht="13" x14ac:dyDescent="0.15">
      <c r="A239" s="4" t="str">
        <f ca="1">IFERROR(__xludf.DUMMYFUNCTION("""COMPUTED_VALUE"""),"Opw 238 U bent waardig, dat wij U prijzen")</f>
        <v>Opw 238 U bent waardig, dat wij U prijzen</v>
      </c>
    </row>
    <row r="240" spans="1:1" ht="13" x14ac:dyDescent="0.15">
      <c r="A240" s="4" t="str">
        <f ca="1">IFERROR(__xludf.DUMMYFUNCTION("""COMPUTED_VALUE"""),"Opw 239 Kom, Leeuw van Juda en Gods Zoon")</f>
        <v>Opw 239 Kom, Leeuw van Juda en Gods Zoon</v>
      </c>
    </row>
    <row r="241" spans="1:1" ht="13" x14ac:dyDescent="0.15">
      <c r="A241" s="4" t="str">
        <f ca="1">IFERROR(__xludf.DUMMYFUNCTION("""COMPUTED_VALUE"""),"Opw 240 Hosanna, hosanna, de Koning komt")</f>
        <v>Opw 240 Hosanna, hosanna, de Koning komt</v>
      </c>
    </row>
    <row r="242" spans="1:1" ht="13" x14ac:dyDescent="0.15">
      <c r="A242" s="4" t="str">
        <f ca="1">IFERROR(__xludf.DUMMYFUNCTION("""COMPUTED_VALUE"""),"Opw 241 Zing tot de glorie van God")</f>
        <v>Opw 241 Zing tot de glorie van God</v>
      </c>
    </row>
    <row r="243" spans="1:1" ht="13" x14ac:dyDescent="0.15">
      <c r="A243" s="4" t="str">
        <f ca="1">IFERROR(__xludf.DUMMYFUNCTION("""COMPUTED_VALUE"""),"Opw 242 Met vreugde zal ik tot U zingen Heer")</f>
        <v>Opw 242 Met vreugde zal ik tot U zingen Heer</v>
      </c>
    </row>
    <row r="244" spans="1:1" ht="13" x14ac:dyDescent="0.15">
      <c r="A244" s="4" t="str">
        <f ca="1">IFERROR(__xludf.DUMMYFUNCTION("""COMPUTED_VALUE"""),"Opw 243 Jezus is Heer, je ziet het om je heen")</f>
        <v>Opw 243 Jezus is Heer, je ziet het om je heen</v>
      </c>
    </row>
    <row r="245" spans="1:1" ht="13" x14ac:dyDescent="0.15">
      <c r="A245" s="4" t="str">
        <f ca="1">IFERROR(__xludf.DUMMYFUNCTION("""COMPUTED_VALUE"""),"Opw 244 Welzalig de man, die niet wandelt")</f>
        <v>Opw 244 Welzalig de man, die niet wandelt</v>
      </c>
    </row>
    <row r="246" spans="1:1" ht="13" x14ac:dyDescent="0.15">
      <c r="A246" s="4" t="str">
        <f ca="1">IFERROR(__xludf.DUMMYFUNCTION("""COMPUTED_VALUE"""),"Opw 245 Hier in uw heiligdom")</f>
        <v>Opw 245 Hier in uw heiligdom</v>
      </c>
    </row>
    <row r="247" spans="1:1" ht="13" x14ac:dyDescent="0.15">
      <c r="A247" s="4" t="str">
        <f ca="1">IFERROR(__xludf.DUMMYFUNCTION("""COMPUTED_VALUE"""),"Opw 246 Koning Jezus, prijst Koning Jezus")</f>
        <v>Opw 246 Koning Jezus, prijst Koning Jezus</v>
      </c>
    </row>
    <row r="248" spans="1:1" ht="13" x14ac:dyDescent="0.15">
      <c r="A248" s="4" t="str">
        <f ca="1">IFERROR(__xludf.DUMMYFUNCTION("""COMPUTED_VALUE"""),"Opw 247 Shalom, shalom, shalom")</f>
        <v>Opw 247 Shalom, shalom, shalom</v>
      </c>
    </row>
    <row r="249" spans="1:1" ht="13" x14ac:dyDescent="0.15">
      <c r="A249" s="4" t="str">
        <f ca="1">IFERROR(__xludf.DUMMYFUNCTION("""COMPUTED_VALUE"""),"Opw 248 God is getrouw, zijn plannen falen niet")</f>
        <v>Opw 248 God is getrouw, zijn plannen falen niet</v>
      </c>
    </row>
    <row r="250" spans="1:1" ht="13" x14ac:dyDescent="0.15">
      <c r="A250" s="4" t="str">
        <f ca="1">IFERROR(__xludf.DUMMYFUNCTION("""COMPUTED_VALUE"""),"Opw 249 Heer, wat een voorrecht/Samen werken")</f>
        <v>Opw 249 Heer, wat een voorrecht/Samen werken</v>
      </c>
    </row>
    <row r="251" spans="1:1" ht="13" x14ac:dyDescent="0.15">
      <c r="A251" s="4" t="str">
        <f ca="1">IFERROR(__xludf.DUMMYFUNCTION("""COMPUTED_VALUE"""),"Opw 250 Hosanna, Zoon van David/Zingt Gode, psalmzingt zijn naam")</f>
        <v>Opw 250 Hosanna, Zoon van David/Zingt Gode, psalmzingt zijn naam</v>
      </c>
    </row>
    <row r="252" spans="1:1" ht="13" x14ac:dyDescent="0.15">
      <c r="A252" s="4" t="str">
        <f ca="1">IFERROR(__xludf.DUMMYFUNCTION("""COMPUTED_VALUE"""),"Opw 251 Zing een vrolijk liedje voor Immanuël")</f>
        <v>Opw 251 Zing een vrolijk liedje voor Immanuël</v>
      </c>
    </row>
    <row r="253" spans="1:1" ht="13" x14ac:dyDescent="0.15">
      <c r="A253" s="4" t="str">
        <f ca="1">IFERROR(__xludf.DUMMYFUNCTION("""COMPUTED_VALUE"""),"Opw 252 Heer, doorgrond mijn hart")</f>
        <v>Opw 252 Heer, doorgrond mijn hart</v>
      </c>
    </row>
    <row r="254" spans="1:1" ht="13" x14ac:dyDescent="0.15">
      <c r="A254" s="4" t="str">
        <f ca="1">IFERROR(__xludf.DUMMYFUNCTION("""COMPUTED_VALUE"""),"Opw 253 Heilig, heilig, heilig Heer")</f>
        <v>Opw 253 Heilig, heilig, heilig Heer</v>
      </c>
    </row>
    <row r="255" spans="1:1" ht="13" x14ac:dyDescent="0.15">
      <c r="A255" s="4" t="str">
        <f ca="1">IFERROR(__xludf.DUMMYFUNCTION("""COMPUTED_VALUE"""),"Opw 254 Prijs nu de Heer")</f>
        <v>Opw 254 Prijs nu de Heer</v>
      </c>
    </row>
    <row r="256" spans="1:1" ht="13" x14ac:dyDescent="0.15">
      <c r="A256" s="4" t="str">
        <f ca="1">IFERROR(__xludf.DUMMYFUNCTION("""COMPUTED_VALUE"""),"Opw 255 k Wil U prijzen Heer")</f>
        <v>Opw 255 k Wil U prijzen Heer</v>
      </c>
    </row>
    <row r="257" spans="1:1" ht="13" x14ac:dyDescent="0.15">
      <c r="A257" s="4" t="str">
        <f ca="1">IFERROR(__xludf.DUMMYFUNCTION("""COMPUTED_VALUE"""),"Opw 256 Jezus Christus, ik aanbid U")</f>
        <v>Opw 256 Jezus Christus, ik aanbid U</v>
      </c>
    </row>
    <row r="258" spans="1:1" ht="13" x14ac:dyDescent="0.15">
      <c r="A258" s="4" t="str">
        <f ca="1">IFERROR(__xludf.DUMMYFUNCTION("""COMPUTED_VALUE"""),"Opw 257 Uw lieflijk aangezicht")</f>
        <v>Opw 257 Uw lieflijk aangezicht</v>
      </c>
    </row>
    <row r="259" spans="1:1" ht="13" x14ac:dyDescent="0.15">
      <c r="A259" s="4" t="str">
        <f ca="1">IFERROR(__xludf.DUMMYFUNCTION("""COMPUTED_VALUE"""),"Opw 258 Blijdschap vervult mijn hart vandaag")</f>
        <v>Opw 258 Blijdschap vervult mijn hart vandaag</v>
      </c>
    </row>
    <row r="260" spans="1:1" ht="13" x14ac:dyDescent="0.15">
      <c r="A260" s="4" t="str">
        <f ca="1">IFERROR(__xludf.DUMMYFUNCTION("""COMPUTED_VALUE"""),"Opw 259 Want zijn naam is verheven")</f>
        <v>Opw 259 Want zijn naam is verheven</v>
      </c>
    </row>
    <row r="261" spans="1:1" ht="13" x14ac:dyDescent="0.15">
      <c r="A261" s="4" t="str">
        <f ca="1">IFERROR(__xludf.DUMMYFUNCTION("""COMPUTED_VALUE"""),"Opw 260 Het is volbracht")</f>
        <v>Opw 260 Het is volbracht</v>
      </c>
    </row>
    <row r="262" spans="1:1" ht="13" x14ac:dyDescent="0.15">
      <c r="A262" s="4" t="str">
        <f ca="1">IFERROR(__xludf.DUMMYFUNCTION("""COMPUTED_VALUE"""),"Opw 261 Abba Vader")</f>
        <v>Opw 261 Abba Vader</v>
      </c>
    </row>
    <row r="263" spans="1:1" ht="13" x14ac:dyDescent="0.15">
      <c r="A263" s="4" t="str">
        <f ca="1">IFERROR(__xludf.DUMMYFUNCTION("""COMPUTED_VALUE"""),"Opw 262 Sta op, o kind'ren van Israël")</f>
        <v>Opw 262 Sta op, o kind'ren van Israël</v>
      </c>
    </row>
    <row r="264" spans="1:1" ht="13" x14ac:dyDescent="0.15">
      <c r="A264" s="4" t="str">
        <f ca="1">IFERROR(__xludf.DUMMYFUNCTION("""COMPUTED_VALUE"""),"Opw 263 Er is een Verlosser")</f>
        <v>Opw 263 Er is een Verlosser</v>
      </c>
    </row>
    <row r="265" spans="1:1" ht="13" x14ac:dyDescent="0.15">
      <c r="A265" s="4" t="str">
        <f ca="1">IFERROR(__xludf.DUMMYFUNCTION("""COMPUTED_VALUE"""),"Opw 264 Waardig is het Lam, alle lof")</f>
        <v>Opw 264 Waardig is het Lam, alle lof</v>
      </c>
    </row>
    <row r="266" spans="1:1" ht="13" x14ac:dyDescent="0.15">
      <c r="A266" s="4" t="str">
        <f ca="1">IFERROR(__xludf.DUMMYFUNCTION("""COMPUTED_VALUE"""),"Opw 265 Groot is de Heer en machtig")</f>
        <v>Opw 265 Groot is de Heer en machtig</v>
      </c>
    </row>
    <row r="267" spans="1:1" ht="13" x14ac:dyDescent="0.15">
      <c r="A267" s="4" t="str">
        <f ca="1">IFERROR(__xludf.DUMMYFUNCTION("""COMPUTED_VALUE"""),"Opw 266 Heer, U leidde mij in de wildernis")</f>
        <v>Opw 266 Heer, U leidde mij in de wildernis</v>
      </c>
    </row>
    <row r="268" spans="1:1" ht="13" x14ac:dyDescent="0.15">
      <c r="A268" s="4" t="str">
        <f ca="1">IFERROR(__xludf.DUMMYFUNCTION("""COMPUTED_VALUE"""),"Opw 267 Groot is de Heer, Hij is heilig en goed")</f>
        <v>Opw 267 Groot is de Heer, Hij is heilig en goed</v>
      </c>
    </row>
    <row r="269" spans="1:1" ht="13" x14ac:dyDescent="0.15">
      <c r="A269" s="4" t="str">
        <f ca="1">IFERROR(__xludf.DUMMYFUNCTION("""COMPUTED_VALUE"""),"Opw 268 Hij kwam bij ons, heel gewoon")</f>
        <v>Opw 268 Hij kwam bij ons, heel gewoon</v>
      </c>
    </row>
    <row r="270" spans="1:1" ht="13" x14ac:dyDescent="0.15">
      <c r="A270" s="4" t="str">
        <f ca="1">IFERROR(__xludf.DUMMYFUNCTION("""COMPUTED_VALUE"""),"Opw 269 Baruch ha-Shem Adonai")</f>
        <v>Opw 269 Baruch ha-Shem Adonai</v>
      </c>
    </row>
    <row r="271" spans="1:1" ht="13" x14ac:dyDescent="0.15">
      <c r="A271" s="4" t="str">
        <f ca="1">IFERROR(__xludf.DUMMYFUNCTION("""COMPUTED_VALUE"""),"Opw 270 Wie is God behalve onze Heer?")</f>
        <v>Opw 270 Wie is God behalve onze Heer?</v>
      </c>
    </row>
    <row r="272" spans="1:1" ht="13" x14ac:dyDescent="0.15">
      <c r="A272" s="4" t="str">
        <f ca="1">IFERROR(__xludf.DUMMYFUNCTION("""COMPUTED_VALUE"""),"Opw 271 Want U bent machtig")</f>
        <v>Opw 271 Want U bent machtig</v>
      </c>
    </row>
    <row r="273" spans="1:1" ht="13" x14ac:dyDescent="0.15">
      <c r="A273" s="4" t="str">
        <f ca="1">IFERROR(__xludf.DUMMYFUNCTION("""COMPUTED_VALUE"""),"Opw 272 Ik dank U wel, mijn Vader")</f>
        <v>Opw 272 Ik dank U wel, mijn Vader</v>
      </c>
    </row>
    <row r="274" spans="1:1" ht="13" x14ac:dyDescent="0.15">
      <c r="A274" s="4" t="str">
        <f ca="1">IFERROR(__xludf.DUMMYFUNCTION("""COMPUTED_VALUE"""),"Opw 273 Lofoffers brengen wij aan U")</f>
        <v>Opw 273 Lofoffers brengen wij aan U</v>
      </c>
    </row>
    <row r="275" spans="1:1" ht="13" x14ac:dyDescent="0.15">
      <c r="A275" s="4" t="str">
        <f ca="1">IFERROR(__xludf.DUMMYFUNCTION("""COMPUTED_VALUE"""),"Opw 274 God is goed, komt, zingt en jubelt")</f>
        <v>Opw 274 God is goed, komt, zingt en jubelt</v>
      </c>
    </row>
    <row r="276" spans="1:1" ht="13" x14ac:dyDescent="0.15">
      <c r="A276" s="4" t="str">
        <f ca="1">IFERROR(__xludf.DUMMYFUNCTION("""COMPUTED_VALUE"""),"Opw 275 Wij zijn hier gekomen")</f>
        <v>Opw 275 Wij zijn hier gekomen</v>
      </c>
    </row>
    <row r="277" spans="1:1" ht="13" x14ac:dyDescent="0.15">
      <c r="A277" s="4" t="str">
        <f ca="1">IFERROR(__xludf.DUMMYFUNCTION("""COMPUTED_VALUE"""),"Opw 276 Laat heel de wereld het zien")</f>
        <v>Opw 276 Laat heel de wereld het zien</v>
      </c>
    </row>
    <row r="278" spans="1:1" ht="13" x14ac:dyDescent="0.15">
      <c r="A278" s="4" t="str">
        <f ca="1">IFERROR(__xludf.DUMMYFUNCTION("""COMPUTED_VALUE"""),"Opw 277 Machtig God, sterke Rots")</f>
        <v>Opw 277 Machtig God, sterke Rots</v>
      </c>
    </row>
    <row r="279" spans="1:1" ht="13" x14ac:dyDescent="0.15">
      <c r="A279" s="4" t="str">
        <f ca="1">IFERROR(__xludf.DUMMYFUNCTION("""COMPUTED_VALUE"""),"Opw 278 Juicht de Here, gij ganse aarde")</f>
        <v>Opw 278 Juicht de Here, gij ganse aarde</v>
      </c>
    </row>
    <row r="280" spans="1:1" ht="13" x14ac:dyDescent="0.15">
      <c r="A280" s="4" t="str">
        <f ca="1">IFERROR(__xludf.DUMMYFUNCTION("""COMPUTED_VALUE"""),"Opw 279 Ik wil zingen halleluja")</f>
        <v>Opw 279 Ik wil zingen halleluja</v>
      </c>
    </row>
    <row r="281" spans="1:1" ht="13" x14ac:dyDescent="0.15">
      <c r="A281" s="4" t="str">
        <f ca="1">IFERROR(__xludf.DUMMYFUNCTION("""COMPUTED_VALUE"""),"Opw 280 Majesteit, wij eren U, Majesteit")</f>
        <v>Opw 280 Majesteit, wij eren U, Majesteit</v>
      </c>
    </row>
    <row r="282" spans="1:1" ht="13" x14ac:dyDescent="0.15">
      <c r="A282" s="4" t="str">
        <f ca="1">IFERROR(__xludf.DUMMYFUNCTION("""COMPUTED_VALUE"""),"Opw 281 Als een hert dat verlangt naar water")</f>
        <v>Opw 281 Als een hert dat verlangt naar water</v>
      </c>
    </row>
    <row r="283" spans="1:1" ht="13" x14ac:dyDescent="0.15">
      <c r="A283" s="4" t="str">
        <f ca="1">IFERROR(__xludf.DUMMYFUNCTION("""COMPUTED_VALUE"""),"Opw 282 k Zegen U, Heer")</f>
        <v>Opw 282 k Zegen U, Heer</v>
      </c>
    </row>
    <row r="284" spans="1:1" ht="13" x14ac:dyDescent="0.15">
      <c r="A284" s="4" t="str">
        <f ca="1">IFERROR(__xludf.DUMMYFUNCTION("""COMPUTED_VALUE"""),"Opw 283 Eer aan de Vader")</f>
        <v>Opw 283 Eer aan de Vader</v>
      </c>
    </row>
    <row r="285" spans="1:1" ht="13" x14ac:dyDescent="0.15">
      <c r="A285" s="4" t="str">
        <f ca="1">IFERROR(__xludf.DUMMYFUNCTION("""COMPUTED_VALUE"""),"Opw 284 Maak groot de Here")</f>
        <v>Opw 284 Maak groot de Here</v>
      </c>
    </row>
    <row r="286" spans="1:1" ht="13" x14ac:dyDescent="0.15">
      <c r="A286" s="4" t="str">
        <f ca="1">IFERROR(__xludf.DUMMYFUNCTION("""COMPUTED_VALUE"""),"Opw 285 Ik hou van U, o Heer")</f>
        <v>Opw 285 Ik hou van U, o Heer</v>
      </c>
    </row>
    <row r="287" spans="1:1" ht="13" x14ac:dyDescent="0.15">
      <c r="A287" s="4" t="str">
        <f ca="1">IFERROR(__xludf.DUMMYFUNCTION("""COMPUTED_VALUE"""),"Opw 286 Zing een vreugdelied")</f>
        <v>Opw 286 Zing een vreugdelied</v>
      </c>
    </row>
    <row r="288" spans="1:1" ht="13" x14ac:dyDescent="0.15">
      <c r="A288" s="4" t="str">
        <f ca="1">IFERROR(__xludf.DUMMYFUNCTION("""COMPUTED_VALUE"""),"Opw 287 Prijs Hem, prijs Hem, geef Hem dank en eer")</f>
        <v>Opw 287 Prijs Hem, prijs Hem, geef Hem dank en eer</v>
      </c>
    </row>
    <row r="289" spans="1:1" ht="13" x14ac:dyDescent="0.15">
      <c r="A289" s="4" t="str">
        <f ca="1">IFERROR(__xludf.DUMMYFUNCTION("""COMPUTED_VALUE"""),"Opw 288 Hef je hoofd omhoog")</f>
        <v>Opw 288 Hef je hoofd omhoog</v>
      </c>
    </row>
    <row r="290" spans="1:1" ht="13" x14ac:dyDescent="0.15">
      <c r="A290" s="4" t="str">
        <f ca="1">IFERROR(__xludf.DUMMYFUNCTION("""COMPUTED_VALUE"""),"Opw 289 U hebt de overwinning behaald")</f>
        <v>Opw 289 U hebt de overwinning behaald</v>
      </c>
    </row>
    <row r="291" spans="1:1" ht="13" x14ac:dyDescent="0.15">
      <c r="A291" s="4" t="str">
        <f ca="1">IFERROR(__xludf.DUMMYFUNCTION("""COMPUTED_VALUE"""),"Opw 290 Hemelse Vader, hoor, wij eren U")</f>
        <v>Opw 290 Hemelse Vader, hoor, wij eren U</v>
      </c>
    </row>
    <row r="292" spans="1:1" ht="13" x14ac:dyDescent="0.15">
      <c r="A292" s="4" t="str">
        <f ca="1">IFERROR(__xludf.DUMMYFUNCTION("""COMPUTED_VALUE"""),"Opw 291 Vader God, ik ben vol lof")</f>
        <v>Opw 291 Vader God, ik ben vol lof</v>
      </c>
    </row>
    <row r="293" spans="1:1" ht="13" x14ac:dyDescent="0.15">
      <c r="A293" s="4" t="str">
        <f ca="1">IFERROR(__xludf.DUMMYFUNCTION("""COMPUTED_VALUE"""),"Opw 292 Laat mijn leven tot eer zijn van uw naam")</f>
        <v>Opw 292 Laat mijn leven tot eer zijn van uw naam</v>
      </c>
    </row>
    <row r="294" spans="1:1" ht="13" x14ac:dyDescent="0.15">
      <c r="A294" s="4" t="str">
        <f ca="1">IFERROR(__xludf.DUMMYFUNCTION("""COMPUTED_VALUE"""),"Opw 293 Bereidt de weg van de Heer")</f>
        <v>Opw 293 Bereidt de weg van de Heer</v>
      </c>
    </row>
    <row r="295" spans="1:1" ht="13" x14ac:dyDescent="0.15">
      <c r="A295" s="4" t="str">
        <f ca="1">IFERROR(__xludf.DUMMYFUNCTION("""COMPUTED_VALUE"""),"Opw 294 Glorie, glorie, glorie aan het Lam")</f>
        <v>Opw 294 Glorie, glorie, glorie aan het Lam</v>
      </c>
    </row>
    <row r="296" spans="1:1" ht="13" x14ac:dyDescent="0.15">
      <c r="A296" s="4" t="str">
        <f ca="1">IFERROR(__xludf.DUMMYFUNCTION("""COMPUTED_VALUE"""),"Opw 295 Geef eer aan God in de hoge")</f>
        <v>Opw 295 Geef eer aan God in de hoge</v>
      </c>
    </row>
    <row r="297" spans="1:1" ht="13" x14ac:dyDescent="0.15">
      <c r="A297" s="4" t="str">
        <f ca="1">IFERROR(__xludf.DUMMYFUNCTION("""COMPUTED_VALUE"""),"Opw 296 U bent waardig, Heer Jehova")</f>
        <v>Opw 296 U bent waardig, Heer Jehova</v>
      </c>
    </row>
    <row r="298" spans="1:1" ht="13" x14ac:dyDescent="0.15">
      <c r="A298" s="4" t="str">
        <f ca="1">IFERROR(__xludf.DUMMYFUNCTION("""COMPUTED_VALUE"""),"Opw 297 Wat geen oog heeft gezien (van Engelenhoven)")</f>
        <v>Opw 297 Wat geen oog heeft gezien (van Engelenhoven)</v>
      </c>
    </row>
    <row r="299" spans="1:1" ht="13" x14ac:dyDescent="0.15">
      <c r="A299" s="4" t="str">
        <f ca="1">IFERROR(__xludf.DUMMYFUNCTION("""COMPUTED_VALUE"""),"Opw 298 Hosanna, hosanna, hosanna in de hoge")</f>
        <v>Opw 298 Hosanna, hosanna, hosanna in de hoge</v>
      </c>
    </row>
    <row r="300" spans="1:1" ht="13" x14ac:dyDescent="0.15">
      <c r="A300" s="4" t="str">
        <f ca="1">IFERROR(__xludf.DUMMYFUNCTION("""COMPUTED_VALUE"""),"Opw 299 Wees blij, want Hij, Koning Jezus")</f>
        <v>Opw 299 Wees blij, want Hij, Koning Jezus</v>
      </c>
    </row>
    <row r="301" spans="1:1" ht="13" x14ac:dyDescent="0.15">
      <c r="A301" s="4" t="str">
        <f ca="1">IFERROR(__xludf.DUMMYFUNCTION("""COMPUTED_VALUE"""),"Opw 300 De aard' is van God en al wat daarin is")</f>
        <v>Opw 300 De aard' is van God en al wat daarin is</v>
      </c>
    </row>
    <row r="302" spans="1:1" ht="13" x14ac:dyDescent="0.15">
      <c r="A302" s="4" t="str">
        <f ca="1">IFERROR(__xludf.DUMMYFUNCTION("""COMPUTED_VALUE"""),"Opw 301 Wij verklaren: Gods Koninkrijk is hier")</f>
        <v>Opw 301 Wij verklaren: Gods Koninkrijk is hier</v>
      </c>
    </row>
    <row r="303" spans="1:1" ht="13" x14ac:dyDescent="0.15">
      <c r="A303" s="4" t="str">
        <f ca="1">IFERROR(__xludf.DUMMYFUNCTION("""COMPUTED_VALUE"""),"Opw 302 Uw naam is als balsem voor 't hart")</f>
        <v>Opw 302 Uw naam is als balsem voor 't hart</v>
      </c>
    </row>
    <row r="304" spans="1:1" ht="13" x14ac:dyDescent="0.15">
      <c r="A304" s="4" t="str">
        <f ca="1">IFERROR(__xludf.DUMMYFUNCTION("""COMPUTED_VALUE"""),"Opw 303 Jezus, ik houd van U")</f>
        <v>Opw 303 Jezus, ik houd van U</v>
      </c>
    </row>
    <row r="305" spans="1:1" ht="13" x14ac:dyDescent="0.15">
      <c r="A305" s="4" t="str">
        <f ca="1">IFERROR(__xludf.DUMMYFUNCTION("""COMPUTED_VALUE"""),"Opw 304 Halleluja, Adonai")</f>
        <v>Opw 304 Halleluja, Adonai</v>
      </c>
    </row>
    <row r="306" spans="1:1" ht="13" x14ac:dyDescent="0.15">
      <c r="A306" s="4" t="str">
        <f ca="1">IFERROR(__xludf.DUMMYFUNCTION("""COMPUTED_VALUE"""),"Opw 305 Wees stil en weet, dat Hij is uw God")</f>
        <v>Opw 305 Wees stil en weet, dat Hij is uw God</v>
      </c>
    </row>
    <row r="307" spans="1:1" ht="13" x14ac:dyDescent="0.15">
      <c r="A307" s="4" t="str">
        <f ca="1">IFERROR(__xludf.DUMMYFUNCTION("""COMPUTED_VALUE"""),"Opw 306 Ons leven is uit God")</f>
        <v>Opw 306 Ons leven is uit God</v>
      </c>
    </row>
    <row r="308" spans="1:1" ht="13" x14ac:dyDescent="0.15">
      <c r="A308" s="4" t="str">
        <f ca="1">IFERROR(__xludf.DUMMYFUNCTION("""COMPUTED_VALUE"""),"Opw 307 Verblijdt u, zonen Gods")</f>
        <v>Opw 307 Verblijdt u, zonen Gods</v>
      </c>
    </row>
    <row r="309" spans="1:1" ht="13" x14ac:dyDescent="0.15">
      <c r="A309" s="4" t="str">
        <f ca="1">IFERROR(__xludf.DUMMYFUNCTION("""COMPUTED_VALUE"""),"Opw 308 O laat Gods Zoon je thans omhullen")</f>
        <v>Opw 308 O laat Gods Zoon je thans omhullen</v>
      </c>
    </row>
    <row r="310" spans="1:1" ht="13" x14ac:dyDescent="0.15">
      <c r="A310" s="4" t="str">
        <f ca="1">IFERROR(__xludf.DUMMYFUNCTION("""COMPUTED_VALUE"""),"Opw 309 Geef Hem nu glorie en lofprijs en ere")</f>
        <v>Opw 309 Geef Hem nu glorie en lofprijs en ere</v>
      </c>
    </row>
    <row r="311" spans="1:1" ht="13" x14ac:dyDescent="0.15">
      <c r="A311" s="4" t="str">
        <f ca="1">IFERROR(__xludf.DUMMYFUNCTION("""COMPUTED_VALUE"""),"Opw 310 U bent het lied van mijn hart")</f>
        <v>Opw 310 U bent het lied van mijn hart</v>
      </c>
    </row>
    <row r="312" spans="1:1" ht="13" x14ac:dyDescent="0.15">
      <c r="A312" s="4" t="str">
        <f ca="1">IFERROR(__xludf.DUMMYFUNCTION("""COMPUTED_VALUE"""),"Opw 311 k Heb geloofd en daarom zing ik")</f>
        <v>Opw 311 k Heb geloofd en daarom zing ik</v>
      </c>
    </row>
    <row r="313" spans="1:1" ht="13" x14ac:dyDescent="0.15">
      <c r="A313" s="4" t="str">
        <f ca="1">IFERROR(__xludf.DUMMYFUNCTION("""COMPUTED_VALUE"""),"Opw 312 Mildheid en majesteit")</f>
        <v>Opw 312 Mildheid en majesteit</v>
      </c>
    </row>
    <row r="314" spans="1:1" ht="13" x14ac:dyDescent="0.15">
      <c r="A314" s="4" t="str">
        <f ca="1">IFERROR(__xludf.DUMMYFUNCTION("""COMPUTED_VALUE"""),"Opw 313 In een donker graf gevangen")</f>
        <v>Opw 313 In een donker graf gevangen</v>
      </c>
    </row>
    <row r="315" spans="1:1" ht="13" x14ac:dyDescent="0.15">
      <c r="A315" s="4" t="str">
        <f ca="1">IFERROR(__xludf.DUMMYFUNCTION("""COMPUTED_VALUE"""),"Opw 314 Geprezen zij de Heer voor zijn liefde en kracht")</f>
        <v>Opw 314 Geprezen zij de Heer voor zijn liefde en kracht</v>
      </c>
    </row>
    <row r="316" spans="1:1" ht="13" x14ac:dyDescent="0.15">
      <c r="A316" s="4" t="str">
        <f ca="1">IFERROR(__xludf.DUMMYFUNCTION("""COMPUTED_VALUE"""),"Opw 315 Heer, uw bloed dat reinigt mij")</f>
        <v>Opw 315 Heer, uw bloed dat reinigt mij</v>
      </c>
    </row>
    <row r="317" spans="1:1" ht="13" x14ac:dyDescent="0.15">
      <c r="A317" s="4" t="str">
        <f ca="1">IFERROR(__xludf.DUMMYFUNCTION("""COMPUTED_VALUE"""),"Opw 316 Bij uw rivier wil ik komen, o Heer")</f>
        <v>Opw 316 Bij uw rivier wil ik komen, o Heer</v>
      </c>
    </row>
    <row r="318" spans="1:1" ht="13" x14ac:dyDescent="0.15">
      <c r="A318" s="4" t="str">
        <f ca="1">IFERROR(__xludf.DUMMYFUNCTION("""COMPUTED_VALUE"""),"Opw 317 Ik zal mijn water gieten")</f>
        <v>Opw 317 Ik zal mijn water gieten</v>
      </c>
    </row>
    <row r="319" spans="1:1" ht="13" x14ac:dyDescent="0.15">
      <c r="A319" s="4" t="str">
        <f ca="1">IFERROR(__xludf.DUMMYFUNCTION("""COMPUTED_VALUE"""),"Opw 318 Eet het brood met Mij")</f>
        <v>Opw 318 Eet het brood met Mij</v>
      </c>
    </row>
    <row r="320" spans="1:1" ht="13" x14ac:dyDescent="0.15">
      <c r="A320" s="4" t="str">
        <f ca="1">IFERROR(__xludf.DUMMYFUNCTION("""COMPUTED_VALUE"""),"Opw 319 Veni Creator Spiritus (van Setten)")</f>
        <v>Opw 319 Veni Creator Spiritus (van Setten)</v>
      </c>
    </row>
    <row r="321" spans="1:1" ht="13" x14ac:dyDescent="0.15">
      <c r="A321" s="4" t="str">
        <f ca="1">IFERROR(__xludf.DUMMYFUNCTION("""COMPUTED_VALUE"""),"Opw 320 Ere zij aan God, de Vader")</f>
        <v>Opw 320 Ere zij aan God, de Vader</v>
      </c>
    </row>
    <row r="322" spans="1:1" ht="13" x14ac:dyDescent="0.15">
      <c r="A322" s="4" t="str">
        <f ca="1">IFERROR(__xludf.DUMMYFUNCTION("""COMPUTED_VALUE"""),"Opw 321 Jubel, jubel dochter Sions")</f>
        <v>Opw 321 Jubel, jubel dochter Sions</v>
      </c>
    </row>
    <row r="323" spans="1:1" ht="13" x14ac:dyDescent="0.15">
      <c r="A323" s="4" t="str">
        <f ca="1">IFERROR(__xludf.DUMMYFUNCTION("""COMPUTED_VALUE"""),"Opw 322 De Heer is mijn kracht en mijn lied")</f>
        <v>Opw 322 De Heer is mijn kracht en mijn lied</v>
      </c>
    </row>
    <row r="324" spans="1:1" ht="13" x14ac:dyDescent="0.15">
      <c r="A324" s="4" t="str">
        <f ca="1">IFERROR(__xludf.DUMMYFUNCTION("""COMPUTED_VALUE"""),"Opw 323 Aan Hem die zit op de troon")</f>
        <v>Opw 323 Aan Hem die zit op de troon</v>
      </c>
    </row>
    <row r="325" spans="1:1" ht="13" x14ac:dyDescent="0.15">
      <c r="A325" s="4" t="str">
        <f ca="1">IFERROR(__xludf.DUMMYFUNCTION("""COMPUTED_VALUE"""),"Opw 324 Ik wil komen en knielen aan uw voeten")</f>
        <v>Opw 324 Ik wil komen en knielen aan uw voeten</v>
      </c>
    </row>
    <row r="326" spans="1:1" ht="13" x14ac:dyDescent="0.15">
      <c r="A326" s="4" t="str">
        <f ca="1">IFERROR(__xludf.DUMMYFUNCTION("""COMPUTED_VALUE"""),"Opw 325 O, de glorie van uw wezen")</f>
        <v>Opw 325 O, de glorie van uw wezen</v>
      </c>
    </row>
    <row r="327" spans="1:1" ht="13" x14ac:dyDescent="0.15">
      <c r="A327" s="4" t="str">
        <f ca="1">IFERROR(__xludf.DUMMYFUNCTION("""COMPUTED_VALUE"""),"Opw 326 Ik verhoog uw naam")</f>
        <v>Opw 326 Ik verhoog uw naam</v>
      </c>
    </row>
    <row r="328" spans="1:1" ht="13" x14ac:dyDescent="0.15">
      <c r="A328" s="4" t="str">
        <f ca="1">IFERROR(__xludf.DUMMYFUNCTION("""COMPUTED_VALUE"""),"Opw 327 Jezus, ik hou van U (Del Hierro)")</f>
        <v>Opw 327 Jezus, ik hou van U (Del Hierro)</v>
      </c>
    </row>
    <row r="329" spans="1:1" ht="13" x14ac:dyDescent="0.15">
      <c r="A329" s="4" t="str">
        <f ca="1">IFERROR(__xludf.DUMMYFUNCTION("""COMPUTED_VALUE"""),"Opw 328 Heer, ontferm U over ons")</f>
        <v>Opw 328 Heer, ontferm U over ons</v>
      </c>
    </row>
    <row r="330" spans="1:1" ht="13" x14ac:dyDescent="0.15">
      <c r="A330" s="4" t="str">
        <f ca="1">IFERROR(__xludf.DUMMYFUNCTION("""COMPUTED_VALUE"""),"Opw 329 U bent Heer van de schepping")</f>
        <v>Opw 329 U bent Heer van de schepping</v>
      </c>
    </row>
    <row r="331" spans="1:1" ht="13" x14ac:dyDescent="0.15">
      <c r="A331" s="4" t="str">
        <f ca="1">IFERROR(__xludf.DUMMYFUNCTION("""COMPUTED_VALUE"""),"Opw 330 Gods bazuinen klinken luid")</f>
        <v>Opw 330 Gods bazuinen klinken luid</v>
      </c>
    </row>
    <row r="332" spans="1:1" ht="13" x14ac:dyDescent="0.15">
      <c r="A332" s="4" t="str">
        <f ca="1">IFERROR(__xludf.DUMMYFUNCTION("""COMPUTED_VALUE"""),"Opw 331 Breng dank aan de Eeuwige")</f>
        <v>Opw 331 Breng dank aan de Eeuwige</v>
      </c>
    </row>
    <row r="333" spans="1:1" ht="13" x14ac:dyDescent="0.15">
      <c r="A333" s="4" t="str">
        <f ca="1">IFERROR(__xludf.DUMMYFUNCTION("""COMPUTED_VALUE"""),"Opw 332 U, o Heer, bent de Allerhoogste")</f>
        <v>Opw 332 U, o Heer, bent de Allerhoogste</v>
      </c>
    </row>
    <row r="334" spans="1:1" ht="13" x14ac:dyDescent="0.15">
      <c r="A334" s="4" t="str">
        <f ca="1">IFERROR(__xludf.DUMMYFUNCTION("""COMPUTED_VALUE"""),"Opw 333 Heer, U bent El Elohim")</f>
        <v>Opw 333 Heer, U bent El Elohim</v>
      </c>
    </row>
    <row r="335" spans="1:1" ht="13" x14ac:dyDescent="0.15">
      <c r="A335" s="4" t="str">
        <f ca="1">IFERROR(__xludf.DUMMYFUNCTION("""COMPUTED_VALUE"""),"Opw 334 Heer, uw licht en uw liefde schijnen")</f>
        <v>Opw 334 Heer, uw licht en uw liefde schijnen</v>
      </c>
    </row>
    <row r="336" spans="1:1" ht="13" x14ac:dyDescent="0.15">
      <c r="A336" s="4" t="str">
        <f ca="1">IFERROR(__xludf.DUMMYFUNCTION("""COMPUTED_VALUE"""),"Opw 335 U bent waardig te ontvangen")</f>
        <v>Opw 335 U bent waardig te ontvangen</v>
      </c>
    </row>
    <row r="337" spans="1:1" ht="13" x14ac:dyDescent="0.15">
      <c r="A337" s="4" t="str">
        <f ca="1">IFERROR(__xludf.DUMMYFUNCTION("""COMPUTED_VALUE"""),"Opw 336 Heilig, heilig, heilig is de Heer")</f>
        <v>Opw 336 Heilig, heilig, heilig is de Heer</v>
      </c>
    </row>
    <row r="338" spans="1:1" ht="13" x14ac:dyDescent="0.15">
      <c r="A338" s="4" t="str">
        <f ca="1">IFERROR(__xludf.DUMMYFUNCTION("""COMPUTED_VALUE"""),"Opw 337 Mijn hoop is op U Heer")</f>
        <v>Opw 337 Mijn hoop is op U Heer</v>
      </c>
    </row>
    <row r="339" spans="1:1" ht="13" x14ac:dyDescent="0.15">
      <c r="A339" s="4" t="str">
        <f ca="1">IFERROR(__xludf.DUMMYFUNCTION("""COMPUTED_VALUE"""),"Opw 338 U bent mij zo kostbaar o Heer")</f>
        <v>Opw 338 U bent mij zo kostbaar o Heer</v>
      </c>
    </row>
    <row r="340" spans="1:1" ht="13" x14ac:dyDescent="0.15">
      <c r="A340" s="4" t="str">
        <f ca="1">IFERROR(__xludf.DUMMYFUNCTION("""COMPUTED_VALUE"""),"Opw 339 O, kom nu en jubel")</f>
        <v>Opw 339 O, kom nu en jubel</v>
      </c>
    </row>
    <row r="341" spans="1:1" ht="13" x14ac:dyDescent="0.15">
      <c r="A341" s="4" t="str">
        <f ca="1">IFERROR(__xludf.DUMMYFUNCTION("""COMPUTED_VALUE"""),"Opw 340 Vader, U bent mijn erfdeel voor altijd")</f>
        <v>Opw 340 Vader, U bent mijn erfdeel voor altijd</v>
      </c>
    </row>
    <row r="342" spans="1:1" ht="13" x14ac:dyDescent="0.15">
      <c r="A342" s="4" t="str">
        <f ca="1">IFERROR(__xludf.DUMMYFUNCTION("""COMPUTED_VALUE"""),"Opw 341 Open je hart")</f>
        <v>Opw 341 Open je hart</v>
      </c>
    </row>
    <row r="343" spans="1:1" ht="13" x14ac:dyDescent="0.15">
      <c r="A343" s="4" t="str">
        <f ca="1">IFERROR(__xludf.DUMMYFUNCTION("""COMPUTED_VALUE"""),"Opw 342 Meer liefde, meer kracht")</f>
        <v>Opw 342 Meer liefde, meer kracht</v>
      </c>
    </row>
    <row r="344" spans="1:1" ht="13" x14ac:dyDescent="0.15">
      <c r="A344" s="4" t="str">
        <f ca="1">IFERROR(__xludf.DUMMYFUNCTION("""COMPUTED_VALUE"""),"Opw 343 Heilige Geest van God, vul opnieuw mijn hart")</f>
        <v>Opw 343 Heilige Geest van God, vul opnieuw mijn hart</v>
      </c>
    </row>
    <row r="345" spans="1:1" ht="13" x14ac:dyDescent="0.15">
      <c r="A345" s="4" t="str">
        <f ca="1">IFERROR(__xludf.DUMMYFUNCTION("""COMPUTED_VALUE"""),"Opw 344 De Here bouwt aan Jeruzalem")</f>
        <v>Opw 344 De Here bouwt aan Jeruzalem</v>
      </c>
    </row>
    <row r="346" spans="1:1" ht="13" x14ac:dyDescent="0.15">
      <c r="A346" s="4" t="str">
        <f ca="1">IFERROR(__xludf.DUMMYFUNCTION("""COMPUTED_VALUE"""),"Opw 345 Jezus het Lam, Jezus het Lam")</f>
        <v>Opw 345 Jezus het Lam, Jezus het Lam</v>
      </c>
    </row>
    <row r="347" spans="1:1" ht="13" x14ac:dyDescent="0.15">
      <c r="A347" s="4" t="str">
        <f ca="1">IFERROR(__xludf.DUMMYFUNCTION("""COMPUTED_VALUE"""),"Opw 346 Maak ons tot een stralend licht")</f>
        <v>Opw 346 Maak ons tot een stralend licht</v>
      </c>
    </row>
    <row r="348" spans="1:1" ht="13" x14ac:dyDescent="0.15">
      <c r="A348" s="4" t="str">
        <f ca="1">IFERROR(__xludf.DUMMYFUNCTION("""COMPUTED_VALUE"""),"Opw 347 Ik geloof in God de Vader, Schepper, die de schepping draagt")</f>
        <v>Opw 347 Ik geloof in God de Vader, Schepper, die de schepping draagt</v>
      </c>
    </row>
    <row r="349" spans="1:1" ht="13" x14ac:dyDescent="0.15">
      <c r="A349" s="4" t="str">
        <f ca="1">IFERROR(__xludf.DUMMYFUNCTION("""COMPUTED_VALUE"""),"Opw 348 Heer van mijn hart")</f>
        <v>Opw 348 Heer van mijn hart</v>
      </c>
    </row>
    <row r="350" spans="1:1" ht="13" x14ac:dyDescent="0.15">
      <c r="A350" s="4" t="str">
        <f ca="1">IFERROR(__xludf.DUMMYFUNCTION("""COMPUTED_VALUE"""),"Opw 349 Hij is verheerlijkt")</f>
        <v>Opw 349 Hij is verheerlijkt</v>
      </c>
    </row>
    <row r="351" spans="1:1" ht="13" x14ac:dyDescent="0.15">
      <c r="A351" s="4" t="str">
        <f ca="1">IFERROR(__xludf.DUMMYFUNCTION("""COMPUTED_VALUE"""),"Opw 350 Vader, vol van vrees en schaamte")</f>
        <v>Opw 350 Vader, vol van vrees en schaamte</v>
      </c>
    </row>
    <row r="352" spans="1:1" ht="13" x14ac:dyDescent="0.15">
      <c r="A352" s="4" t="str">
        <f ca="1">IFERROR(__xludf.DUMMYFUNCTION("""COMPUTED_VALUE"""),"Opw 351 Jezus geeft een loflied in ons hart")</f>
        <v>Opw 351 Jezus geeft een loflied in ons hart</v>
      </c>
    </row>
    <row r="353" spans="1:1" ht="13" x14ac:dyDescent="0.15">
      <c r="A353" s="4" t="str">
        <f ca="1">IFERROR(__xludf.DUMMYFUNCTION("""COMPUTED_VALUE"""),"Opw 352 Christus, onze Heer, verrees")</f>
        <v>Opw 352 Christus, onze Heer, verrees</v>
      </c>
    </row>
    <row r="354" spans="1:1" ht="13" x14ac:dyDescent="0.15">
      <c r="A354" s="4" t="str">
        <f ca="1">IFERROR(__xludf.DUMMYFUNCTION("""COMPUTED_VALUE"""),"Opw 353 Kom met uw genade, Heer")</f>
        <v>Opw 353 Kom met uw genade, Heer</v>
      </c>
    </row>
    <row r="355" spans="1:1" ht="13" x14ac:dyDescent="0.15">
      <c r="A355" s="4" t="str">
        <f ca="1">IFERROR(__xludf.DUMMYFUNCTION("""COMPUTED_VALUE"""),"Opw 354 Glorie aan God")</f>
        <v>Opw 354 Glorie aan God</v>
      </c>
    </row>
    <row r="356" spans="1:1" ht="13" x14ac:dyDescent="0.15">
      <c r="A356" s="4" t="str">
        <f ca="1">IFERROR(__xludf.DUMMYFUNCTION("""COMPUTED_VALUE"""),"Opw 355 U die mij geschapen hebt")</f>
        <v>Opw 355 U die mij geschapen hebt</v>
      </c>
    </row>
    <row r="357" spans="1:1" ht="13" x14ac:dyDescent="0.15">
      <c r="A357" s="4" t="str">
        <f ca="1">IFERROR(__xludf.DUMMYFUNCTION("""COMPUTED_VALUE"""),"Opw 356 Heer, ik wil U prijzen")</f>
        <v>Opw 356 Heer, ik wil U prijzen</v>
      </c>
    </row>
    <row r="358" spans="1:1" ht="13" x14ac:dyDescent="0.15">
      <c r="A358" s="4" t="str">
        <f ca="1">IFERROR(__xludf.DUMMYFUNCTION("""COMPUTED_VALUE"""),"Opw 357 Lof zij de Heer, die ons doet triomferen")</f>
        <v>Opw 357 Lof zij de Heer, die ons doet triomferen</v>
      </c>
    </row>
    <row r="359" spans="1:1" ht="13" x14ac:dyDescent="0.15">
      <c r="A359" s="4" t="str">
        <f ca="1">IFERROR(__xludf.DUMMYFUNCTION("""COMPUTED_VALUE"""),"Opw 358 Uw tederheid genas")</f>
        <v>Opw 358 Uw tederheid genas</v>
      </c>
    </row>
    <row r="360" spans="1:1" ht="13" x14ac:dyDescent="0.15">
      <c r="A360" s="4" t="str">
        <f ca="1">IFERROR(__xludf.DUMMYFUNCTION("""COMPUTED_VALUE"""),"Opw 359 De hemel juicht")</f>
        <v>Opw 359 De hemel juicht</v>
      </c>
    </row>
    <row r="361" spans="1:1" ht="13" x14ac:dyDescent="0.15">
      <c r="A361" s="4" t="str">
        <f ca="1">IFERROR(__xludf.DUMMYFUNCTION("""COMPUTED_VALUE"""),"Opw 360 Dit is heil'ge grond")</f>
        <v>Opw 360 Dit is heil'ge grond</v>
      </c>
    </row>
    <row r="362" spans="1:1" ht="13" x14ac:dyDescent="0.15">
      <c r="A362" s="4" t="str">
        <f ca="1">IFERROR(__xludf.DUMMYFUNCTION("""COMPUTED_VALUE"""),"Opw 361 Als David dans ik uit alle macht")</f>
        <v>Opw 361 Als David dans ik uit alle macht</v>
      </c>
    </row>
    <row r="363" spans="1:1" ht="13" x14ac:dyDescent="0.15">
      <c r="A363" s="4" t="str">
        <f ca="1">IFERROR(__xludf.DUMMYFUNCTION("""COMPUTED_VALUE"""),"Opw 362 Baruch Ha Ba B'Shem Adonai")</f>
        <v>Opw 362 Baruch Ha Ba B'Shem Adonai</v>
      </c>
    </row>
    <row r="364" spans="1:1" ht="13" x14ac:dyDescent="0.15">
      <c r="A364" s="4" t="str">
        <f ca="1">IFERROR(__xludf.DUMMYFUNCTION("""COMPUTED_VALUE"""),"Opw 363 Kom laat ons buigen voor de Heer")</f>
        <v>Opw 363 Kom laat ons buigen voor de Heer</v>
      </c>
    </row>
    <row r="365" spans="1:1" ht="13" x14ac:dyDescent="0.15">
      <c r="A365" s="4" t="str">
        <f ca="1">IFERROR(__xludf.DUMMYFUNCTION("""COMPUTED_VALUE"""),"Opw 364 Prijs onze Heer")</f>
        <v>Opw 364 Prijs onze Heer</v>
      </c>
    </row>
    <row r="366" spans="1:1" ht="13" x14ac:dyDescent="0.15">
      <c r="A366" s="4" t="str">
        <f ca="1">IFERROR(__xludf.DUMMYFUNCTION("""COMPUTED_VALUE"""),"Opw 365 k Aanbid U, Heer, almachtig God")</f>
        <v>Opw 365 k Aanbid U, Heer, almachtig God</v>
      </c>
    </row>
    <row r="367" spans="1:1" ht="13" x14ac:dyDescent="0.15">
      <c r="A367" s="4" t="str">
        <f ca="1">IFERROR(__xludf.DUMMYFUNCTION("""COMPUTED_VALUE"""),"Opw 366 Kroon Hem met gouden kroon")</f>
        <v>Opw 366 Kroon Hem met gouden kroon</v>
      </c>
    </row>
    <row r="368" spans="1:1" ht="13" x14ac:dyDescent="0.15">
      <c r="A368" s="4" t="str">
        <f ca="1">IFERROR(__xludf.DUMMYFUNCTION("""COMPUTED_VALUE"""),"Opw 367 Als God zijn stem doet horen in Israël")</f>
        <v>Opw 367 Als God zijn stem doet horen in Israël</v>
      </c>
    </row>
    <row r="369" spans="1:1" ht="13" x14ac:dyDescent="0.15">
      <c r="A369" s="4" t="str">
        <f ca="1">IFERROR(__xludf.DUMMYFUNCTION("""COMPUTED_VALUE"""),"Opw 368 Hoor, o Israël")</f>
        <v>Opw 368 Hoor, o Israël</v>
      </c>
    </row>
    <row r="370" spans="1:1" ht="13" x14ac:dyDescent="0.15">
      <c r="A370" s="4" t="str">
        <f ca="1">IFERROR(__xludf.DUMMYFUNCTION("""COMPUTED_VALUE"""),"Opw 369 Door uw genade, Vader")</f>
        <v>Opw 369 Door uw genade, Vader</v>
      </c>
    </row>
    <row r="371" spans="1:1" ht="13" x14ac:dyDescent="0.15">
      <c r="A371" s="4" t="str">
        <f ca="1">IFERROR(__xludf.DUMMYFUNCTION("""COMPUTED_VALUE"""),"Opw 370 Een vaste burcht is onze God")</f>
        <v>Opw 370 Een vaste burcht is onze God</v>
      </c>
    </row>
    <row r="372" spans="1:1" ht="13" x14ac:dyDescent="0.15">
      <c r="A372" s="4" t="str">
        <f ca="1">IFERROR(__xludf.DUMMYFUNCTION("""COMPUTED_VALUE"""),"Opw 371 Heer, U gaf aan mij uw vreugdeolie")</f>
        <v>Opw 371 Heer, U gaf aan mij uw vreugdeolie</v>
      </c>
    </row>
    <row r="373" spans="1:1" ht="13" x14ac:dyDescent="0.15">
      <c r="A373" s="4" t="str">
        <f ca="1">IFERROR(__xludf.DUMMYFUNCTION("""COMPUTED_VALUE"""),"Opw 372 U verzadigt mij met uw liefde, Heer")</f>
        <v>Opw 372 U verzadigt mij met uw liefde, Heer</v>
      </c>
    </row>
    <row r="374" spans="1:1" ht="13" x14ac:dyDescent="0.15">
      <c r="A374" s="4" t="str">
        <f ca="1">IFERROR(__xludf.DUMMYFUNCTION("""COMPUTED_VALUE"""),"Opw 373 Voor de allerhoogste Heer")</f>
        <v>Opw 373 Voor de allerhoogste Heer</v>
      </c>
    </row>
    <row r="375" spans="1:1" ht="13" x14ac:dyDescent="0.15">
      <c r="A375" s="4" t="str">
        <f ca="1">IFERROR(__xludf.DUMMYFUNCTION("""COMPUTED_VALUE"""),"Opw 374 Met hemelse wapens")</f>
        <v>Opw 374 Met hemelse wapens</v>
      </c>
    </row>
    <row r="376" spans="1:1" ht="13" x14ac:dyDescent="0.15">
      <c r="A376" s="4" t="str">
        <f ca="1">IFERROR(__xludf.DUMMYFUNCTION("""COMPUTED_VALUE"""),"Opw 375 De Heer regeert")</f>
        <v>Opw 375 De Heer regeert</v>
      </c>
    </row>
    <row r="377" spans="1:1" ht="13" x14ac:dyDescent="0.15">
      <c r="A377" s="4" t="str">
        <f ca="1">IFERROR(__xludf.DUMMYFUNCTION("""COMPUTED_VALUE"""),"Opw 376 Maak ons een leger, o Heer")</f>
        <v>Opw 376 Maak ons een leger, o Heer</v>
      </c>
    </row>
    <row r="378" spans="1:1" ht="13" x14ac:dyDescent="0.15">
      <c r="A378" s="4" t="str">
        <f ca="1">IFERROR(__xludf.DUMMYFUNCTION("""COMPUTED_VALUE"""),"Opw 377 Wat de toekomst brengen moge")</f>
        <v>Opw 377 Wat de toekomst brengen moge</v>
      </c>
    </row>
    <row r="379" spans="1:1" ht="13" x14ac:dyDescent="0.15">
      <c r="A379" s="4" t="str">
        <f ca="1">IFERROR(__xludf.DUMMYFUNCTION("""COMPUTED_VALUE"""),"Opw 378 Ik wil jou van harte dienen")</f>
        <v>Opw 378 Ik wil jou van harte dienen</v>
      </c>
    </row>
    <row r="380" spans="1:1" ht="13" x14ac:dyDescent="0.15">
      <c r="A380" s="4" t="str">
        <f ca="1">IFERROR(__xludf.DUMMYFUNCTION("""COMPUTED_VALUE"""),"Opw 379 Heerlijk is uw naam")</f>
        <v>Opw 379 Heerlijk is uw naam</v>
      </c>
    </row>
    <row r="381" spans="1:1" ht="13" x14ac:dyDescent="0.15">
      <c r="A381" s="4" t="str">
        <f ca="1">IFERROR(__xludf.DUMMYFUNCTION("""COMPUTED_VALUE"""),"Opw 380 Koning van Sjaloom")</f>
        <v>Opw 380 Koning van Sjaloom</v>
      </c>
    </row>
    <row r="382" spans="1:1" ht="13" x14ac:dyDescent="0.15">
      <c r="A382" s="4" t="str">
        <f ca="1">IFERROR(__xludf.DUMMYFUNCTION("""COMPUTED_VALUE"""),"Opw 381 De zaligheid is van God")</f>
        <v>Opw 381 De zaligheid is van God</v>
      </c>
    </row>
    <row r="383" spans="1:1" ht="13" x14ac:dyDescent="0.15">
      <c r="A383" s="4" t="str">
        <f ca="1">IFERROR(__xludf.DUMMYFUNCTION("""COMPUTED_VALUE"""),"Opw 382 O Heer, de nacht komt over ons")</f>
        <v>Opw 382 O Heer, de nacht komt over ons</v>
      </c>
    </row>
    <row r="384" spans="1:1" ht="13" x14ac:dyDescent="0.15">
      <c r="A384" s="4" t="str">
        <f ca="1">IFERROR(__xludf.DUMMYFUNCTION("""COMPUTED_VALUE"""),"Opw 383 Geest van hierboven, leer ons geloven")</f>
        <v>Opw 383 Geest van hierboven, leer ons geloven</v>
      </c>
    </row>
    <row r="385" spans="1:1" ht="13" x14ac:dyDescent="0.15">
      <c r="A385" s="4" t="str">
        <f ca="1">IFERROR(__xludf.DUMMYFUNCTION("""COMPUTED_VALUE"""),"Opw 384 De dag, door uwe gunst ontvangen")</f>
        <v>Opw 384 De dag, door uwe gunst ontvangen</v>
      </c>
    </row>
    <row r="386" spans="1:1" ht="13" x14ac:dyDescent="0.15">
      <c r="A386" s="4" t="str">
        <f ca="1">IFERROR(__xludf.DUMMYFUNCTION("""COMPUTED_VALUE"""),"Opw 385 Mijn vrede laat Ik u")</f>
        <v>Opw 385 Mijn vrede laat Ik u</v>
      </c>
    </row>
    <row r="387" spans="1:1" ht="13" x14ac:dyDescent="0.15">
      <c r="A387" s="4" t="str">
        <f ca="1">IFERROR(__xludf.DUMMYFUNCTION("""COMPUTED_VALUE"""),"Opw 386 Lof zij de Heer, de almachtige Koning der ere")</f>
        <v>Opw 386 Lof zij de Heer, de almachtige Koning der ere</v>
      </c>
    </row>
    <row r="388" spans="1:1" ht="13" x14ac:dyDescent="0.15">
      <c r="A388" s="4" t="str">
        <f ca="1">IFERROR(__xludf.DUMMYFUNCTION("""COMPUTED_VALUE"""),"Opw 387 Groot en machtig is Hij")</f>
        <v>Opw 387 Groot en machtig is Hij</v>
      </c>
    </row>
    <row r="389" spans="1:1" ht="13" x14ac:dyDescent="0.15">
      <c r="A389" s="4" t="str">
        <f ca="1">IFERROR(__xludf.DUMMYFUNCTION("""COMPUTED_VALUE"""),"Opw 388 De woestijn zal bloeien als een roos")</f>
        <v>Opw 388 De woestijn zal bloeien als een roos</v>
      </c>
    </row>
    <row r="390" spans="1:1" ht="13" x14ac:dyDescent="0.15">
      <c r="A390" s="4" t="str">
        <f ca="1">IFERROR(__xludf.DUMMYFUNCTION("""COMPUTED_VALUE"""),"Opw 389 Create in me a clean heart")</f>
        <v>Opw 389 Create in me a clean heart</v>
      </c>
    </row>
    <row r="391" spans="1:1" ht="13" x14ac:dyDescent="0.15">
      <c r="A391" s="4" t="str">
        <f ca="1">IFERROR(__xludf.DUMMYFUNCTION("""COMPUTED_VALUE"""),"Opw 390 Ik belijd: ons land heeft gezondigd")</f>
        <v>Opw 390 Ik belijd: ons land heeft gezondigd</v>
      </c>
    </row>
    <row r="392" spans="1:1" ht="13" x14ac:dyDescent="0.15">
      <c r="A392" s="4" t="str">
        <f ca="1">IFERROR(__xludf.DUMMYFUNCTION("""COMPUTED_VALUE"""),"Opw 391 Welkom, Heil'ge Geest van God")</f>
        <v>Opw 391 Welkom, Heil'ge Geest van God</v>
      </c>
    </row>
    <row r="393" spans="1:1" ht="13" x14ac:dyDescent="0.15">
      <c r="A393" s="4" t="str">
        <f ca="1">IFERROR(__xludf.DUMMYFUNCTION("""COMPUTED_VALUE"""),"Opw 392 Mijn Jezus, ik hou van U")</f>
        <v>Opw 392 Mijn Jezus, ik hou van U</v>
      </c>
    </row>
    <row r="394" spans="1:1" ht="13" x14ac:dyDescent="0.15">
      <c r="A394" s="4" t="str">
        <f ca="1">IFERROR(__xludf.DUMMYFUNCTION("""COMPUTED_VALUE"""),"Opw 393 Lam van God, Heilige")</f>
        <v>Opw 393 Lam van God, Heilige</v>
      </c>
    </row>
    <row r="395" spans="1:1" ht="13" x14ac:dyDescent="0.15">
      <c r="A395" s="4" t="str">
        <f ca="1">IFERROR(__xludf.DUMMYFUNCTION("""COMPUTED_VALUE"""),"Opw 394 Genade en vrede zij u van de Vader")</f>
        <v>Opw 394 Genade en vrede zij u van de Vader</v>
      </c>
    </row>
    <row r="396" spans="1:1" ht="13" x14ac:dyDescent="0.15">
      <c r="A396" s="4" t="str">
        <f ca="1">IFERROR(__xludf.DUMMYFUNCTION("""COMPUTED_VALUE"""),"Opw 395 Zing met luid gejubel")</f>
        <v>Opw 395 Zing met luid gejubel</v>
      </c>
    </row>
    <row r="397" spans="1:1" ht="13" x14ac:dyDescent="0.15">
      <c r="A397" s="4" t="str">
        <f ca="1">IFERROR(__xludf.DUMMYFUNCTION("""COMPUTED_VALUE"""),"Opw 396 Het Feest / Hoor de bazuin, de hemel zingt!")</f>
        <v>Opw 396 Het Feest / Hoor de bazuin, de hemel zingt!</v>
      </c>
    </row>
    <row r="398" spans="1:1" ht="13" x14ac:dyDescent="0.15">
      <c r="A398" s="4" t="str">
        <f ca="1">IFERROR(__xludf.DUMMYFUNCTION("""COMPUTED_VALUE"""),"Opw 397 Jezus woont in mijn hart")</f>
        <v>Opw 397 Jezus woont in mijn hart</v>
      </c>
    </row>
    <row r="399" spans="1:1" ht="13" x14ac:dyDescent="0.15">
      <c r="A399" s="4" t="str">
        <f ca="1">IFERROR(__xludf.DUMMYFUNCTION("""COMPUTED_VALUE"""),"Opw 398 Leid mij naar uw heiligdom")</f>
        <v>Opw 398 Leid mij naar uw heiligdom</v>
      </c>
    </row>
    <row r="400" spans="1:1" ht="13" x14ac:dyDescent="0.15">
      <c r="A400" s="4" t="str">
        <f ca="1">IFERROR(__xludf.DUMMYFUNCTION("""COMPUTED_VALUE"""),"Opw 399 Vader God, ik vraag me af")</f>
        <v>Opw 399 Vader God, ik vraag me af</v>
      </c>
    </row>
    <row r="401" spans="1:1" ht="13" x14ac:dyDescent="0.15">
      <c r="A401" s="4" t="str">
        <f ca="1">IFERROR(__xludf.DUMMYFUNCTION("""COMPUTED_VALUE"""),"Opw 400 Liefde was het")</f>
        <v>Opw 400 Liefde was het</v>
      </c>
    </row>
    <row r="402" spans="1:1" ht="13" x14ac:dyDescent="0.15">
      <c r="A402" s="4" t="str">
        <f ca="1">IFERROR(__xludf.DUMMYFUNCTION("""COMPUTED_VALUE"""),"Opw 401 Koning Jezus, wij verhogen U")</f>
        <v>Opw 401 Koning Jezus, wij verhogen U</v>
      </c>
    </row>
    <row r="403" spans="1:1" ht="13" x14ac:dyDescent="0.15">
      <c r="A403" s="4" t="str">
        <f ca="1">IFERROR(__xludf.DUMMYFUNCTION("""COMPUTED_VALUE"""),"Opw 402 Vader, Zoon en Geest")</f>
        <v>Opw 402 Vader, Zoon en Geest</v>
      </c>
    </row>
    <row r="404" spans="1:1" ht="13" x14ac:dyDescent="0.15">
      <c r="A404" s="4" t="str">
        <f ca="1">IFERROR(__xludf.DUMMYFUNCTION("""COMPUTED_VALUE"""),"Opw 403 Kom en help ons oogsten")</f>
        <v>Opw 403 Kom en help ons oogsten</v>
      </c>
    </row>
    <row r="405" spans="1:1" ht="13" x14ac:dyDescent="0.15">
      <c r="A405" s="4" t="str">
        <f ca="1">IFERROR(__xludf.DUMMYFUNCTION("""COMPUTED_VALUE"""),"Opw 404 Wij gaan op weg")</f>
        <v>Opw 404 Wij gaan op weg</v>
      </c>
    </row>
    <row r="406" spans="1:1" ht="13" x14ac:dyDescent="0.15">
      <c r="A406" s="4" t="str">
        <f ca="1">IFERROR(__xludf.DUMMYFUNCTION("""COMPUTED_VALUE"""),"Opw 405 Er is maar één God")</f>
        <v>Opw 405 Er is maar één God</v>
      </c>
    </row>
    <row r="407" spans="1:1" ht="13" x14ac:dyDescent="0.15">
      <c r="A407" s="4" t="str">
        <f ca="1">IFERROR(__xludf.DUMMYFUNCTION("""COMPUTED_VALUE"""),"Opw 406 In uw naam komen wij")</f>
        <v>Opw 406 In uw naam komen wij</v>
      </c>
    </row>
    <row r="408" spans="1:1" ht="13" x14ac:dyDescent="0.15">
      <c r="A408" s="4" t="str">
        <f ca="1">IFERROR(__xludf.DUMMYFUNCTION("""COMPUTED_VALUE"""),"Opw 407 O, Heer mijn God, wanneer ik in verwond'ring")</f>
        <v>Opw 407 O, Heer mijn God, wanneer ik in verwond'ring</v>
      </c>
    </row>
    <row r="409" spans="1:1" ht="13" x14ac:dyDescent="0.15">
      <c r="A409" s="4" t="str">
        <f ca="1">IFERROR(__xludf.DUMMYFUNCTION("""COMPUTED_VALUE"""),"Opw 408 Israël, verheug u in uw maker")</f>
        <v>Opw 408 Israël, verheug u in uw maker</v>
      </c>
    </row>
    <row r="410" spans="1:1" ht="13" x14ac:dyDescent="0.15">
      <c r="A410" s="4" t="str">
        <f ca="1">IFERROR(__xludf.DUMMYFUNCTION("""COMPUTED_VALUE"""),"Opw 409 Heel mijn hart jubelt voor de Heer")</f>
        <v>Opw 409 Heel mijn hart jubelt voor de Heer</v>
      </c>
    </row>
    <row r="411" spans="1:1" ht="13" x14ac:dyDescent="0.15">
      <c r="A411" s="4" t="str">
        <f ca="1">IFERROR(__xludf.DUMMYFUNCTION("""COMPUTED_VALUE"""),"Opw 410 O, maak de Heer nu groot met mij")</f>
        <v>Opw 410 O, maak de Heer nu groot met mij</v>
      </c>
    </row>
    <row r="412" spans="1:1" ht="13" x14ac:dyDescent="0.15">
      <c r="A412" s="4" t="str">
        <f ca="1">IFERROR(__xludf.DUMMYFUNCTION("""COMPUTED_VALUE"""),"Opw 411 Geprezen zij de Here")</f>
        <v>Opw 411 Geprezen zij de Here</v>
      </c>
    </row>
    <row r="413" spans="1:1" ht="13" x14ac:dyDescent="0.15">
      <c r="A413" s="4" t="str">
        <f ca="1">IFERROR(__xludf.DUMMYFUNCTION("""COMPUTED_VALUE"""),"Opw 412 Komt tot Mij")</f>
        <v>Opw 412 Komt tot Mij</v>
      </c>
    </row>
    <row r="414" spans="1:1" ht="13" x14ac:dyDescent="0.15">
      <c r="A414" s="4" t="str">
        <f ca="1">IFERROR(__xludf.DUMMYFUNCTION("""COMPUTED_VALUE"""),"Opw 413 Hoe kom ik van zonde vrij?/Leid mij naar het kruis van Jezus")</f>
        <v>Opw 413 Hoe kom ik van zonde vrij?/Leid mij naar het kruis van Jezus</v>
      </c>
    </row>
    <row r="415" spans="1:1" ht="13" x14ac:dyDescent="0.15">
      <c r="A415" s="4" t="str">
        <f ca="1">IFERROR(__xludf.DUMMYFUNCTION("""COMPUTED_VALUE"""),"Opw 414 U zond uw Zoon, onschuldig, rein")</f>
        <v>Opw 414 U zond uw Zoon, onschuldig, rein</v>
      </c>
    </row>
    <row r="416" spans="1:1" ht="13" x14ac:dyDescent="0.15">
      <c r="A416" s="4" t="str">
        <f ca="1">IFERROR(__xludf.DUMMYFUNCTION("""COMPUTED_VALUE"""),"Opw 415 Toon je dank aan de Heer")</f>
        <v>Opw 415 Toon je dank aan de Heer</v>
      </c>
    </row>
    <row r="417" spans="1:1" ht="13" x14ac:dyDescent="0.15">
      <c r="A417" s="4" t="str">
        <f ca="1">IFERROR(__xludf.DUMMYFUNCTION("""COMPUTED_VALUE"""),"Opw 416 Jezus is Koning over de aarde")</f>
        <v>Opw 416 Jezus is Koning over de aarde</v>
      </c>
    </row>
    <row r="418" spans="1:1" ht="13" x14ac:dyDescent="0.15">
      <c r="A418" s="4" t="str">
        <f ca="1">IFERROR(__xludf.DUMMYFUNCTION("""COMPUTED_VALUE"""),"Opw 417 Heer, U draagt de hoogste kroon")</f>
        <v>Opw 417 Heer, U draagt de hoogste kroon</v>
      </c>
    </row>
    <row r="419" spans="1:1" ht="13" x14ac:dyDescent="0.15">
      <c r="A419" s="4" t="str">
        <f ca="1">IFERROR(__xludf.DUMMYFUNCTION("""COMPUTED_VALUE"""),"Opw 418 Als ik opzie naar uw heiligheid")</f>
        <v>Opw 418 Als ik opzie naar uw heiligheid</v>
      </c>
    </row>
    <row r="420" spans="1:1" ht="13" x14ac:dyDescent="0.15">
      <c r="A420" s="4" t="str">
        <f ca="1">IFERROR(__xludf.DUMMYFUNCTION("""COMPUTED_VALUE"""),"Opw 419 U bent God en wij prijzen U")</f>
        <v>Opw 419 U bent God en wij prijzen U</v>
      </c>
    </row>
    <row r="421" spans="1:1" ht="13" x14ac:dyDescent="0.15">
      <c r="A421" s="4" t="str">
        <f ca="1">IFERROR(__xludf.DUMMYFUNCTION("""COMPUTED_VALUE"""),"Opw 420 Geen andere naam")</f>
        <v>Opw 420 Geen andere naam</v>
      </c>
    </row>
    <row r="422" spans="1:1" ht="13" x14ac:dyDescent="0.15">
      <c r="A422" s="4" t="str">
        <f ca="1">IFERROR(__xludf.DUMMYFUNCTION("""COMPUTED_VALUE"""),"Opw 421 Ja, ik wil U volgen")</f>
        <v>Opw 421 Ja, ik wil U volgen</v>
      </c>
    </row>
    <row r="423" spans="1:1" ht="13" x14ac:dyDescent="0.15">
      <c r="A423" s="4" t="str">
        <f ca="1">IFERROR(__xludf.DUMMYFUNCTION("""COMPUTED_VALUE"""),"Opw 422 U wil ik kennen")</f>
        <v>Opw 422 U wil ik kennen</v>
      </c>
    </row>
    <row r="424" spans="1:1" ht="13" x14ac:dyDescent="0.15">
      <c r="A424" s="4" t="str">
        <f ca="1">IFERROR(__xludf.DUMMYFUNCTION("""COMPUTED_VALUE"""),"Opw 423 Ik zing en juich voor mijn verlosser")</f>
        <v>Opw 423 Ik zing en juich voor mijn verlosser</v>
      </c>
    </row>
    <row r="425" spans="1:1" ht="13" x14ac:dyDescent="0.15">
      <c r="A425" s="4" t="str">
        <f ca="1">IFERROR(__xludf.DUMMYFUNCTION("""COMPUTED_VALUE"""),"Opw 424 Ik wil zingen voor de Koning")</f>
        <v>Opw 424 Ik wil zingen voor de Koning</v>
      </c>
    </row>
    <row r="426" spans="1:1" ht="13" x14ac:dyDescent="0.15">
      <c r="A426" s="4" t="str">
        <f ca="1">IFERROR(__xludf.DUMMYFUNCTION("""COMPUTED_VALUE"""),"Opw 425 Er is geen grens")</f>
        <v>Opw 425 Er is geen grens</v>
      </c>
    </row>
    <row r="427" spans="1:1" ht="13" x14ac:dyDescent="0.15">
      <c r="A427" s="4" t="str">
        <f ca="1">IFERROR(__xludf.DUMMYFUNCTION("""COMPUTED_VALUE"""),"Opw 426 Ja, ik geloof in Jezus")</f>
        <v>Opw 426 Ja, ik geloof in Jezus</v>
      </c>
    </row>
    <row r="428" spans="1:1" ht="13" x14ac:dyDescent="0.15">
      <c r="A428" s="4" t="str">
        <f ca="1">IFERROR(__xludf.DUMMYFUNCTION("""COMPUTED_VALUE"""),"Opw 427 Dwars door het vuur/ Maak mij rein voor U")</f>
        <v>Opw 427 Dwars door het vuur/ Maak mij rein voor U</v>
      </c>
    </row>
    <row r="429" spans="1:1" ht="13" x14ac:dyDescent="0.15">
      <c r="A429" s="4" t="str">
        <f ca="1">IFERROR(__xludf.DUMMYFUNCTION("""COMPUTED_VALUE"""),"Opw 428 Genade, zo oneindig groot")</f>
        <v>Opw 428 Genade, zo oneindig groot</v>
      </c>
    </row>
    <row r="430" spans="1:1" ht="13" x14ac:dyDescent="0.15">
      <c r="A430" s="4" t="str">
        <f ca="1">IFERROR(__xludf.DUMMYFUNCTION("""COMPUTED_VALUE"""),"Opw 429 God wijst mij een weg")</f>
        <v>Opw 429 God wijst mij een weg</v>
      </c>
    </row>
    <row r="431" spans="1:1" ht="13" x14ac:dyDescent="0.15">
      <c r="A431" s="4" t="str">
        <f ca="1">IFERROR(__xludf.DUMMYFUNCTION("""COMPUTED_VALUE"""),"Opw 430 Heer, ik prijs uw grote naam")</f>
        <v>Opw 430 Heer, ik prijs uw grote naam</v>
      </c>
    </row>
    <row r="432" spans="1:1" ht="13" x14ac:dyDescent="0.15">
      <c r="A432" s="4" t="str">
        <f ca="1">IFERROR(__xludf.DUMMYFUNCTION("""COMPUTED_VALUE"""),"Opw 431 Laat een loflied op je lippen zijn")</f>
        <v>Opw 431 Laat een loflied op je lippen zijn</v>
      </c>
    </row>
    <row r="433" spans="1:1" ht="13" x14ac:dyDescent="0.15">
      <c r="A433" s="4" t="str">
        <f ca="1">IFERROR(__xludf.DUMMYFUNCTION("""COMPUTED_VALUE"""),"Opw 432 Kom en prijs")</f>
        <v>Opw 432 Kom en prijs</v>
      </c>
    </row>
    <row r="434" spans="1:1" ht="13" x14ac:dyDescent="0.15">
      <c r="A434" s="4" t="str">
        <f ca="1">IFERROR(__xludf.DUMMYFUNCTION("""COMPUTED_VALUE"""),"Opw 433 Groter is Hij die in mij is")</f>
        <v>Opw 433 Groter is Hij die in mij is</v>
      </c>
    </row>
    <row r="435" spans="1:1" ht="13" x14ac:dyDescent="0.15">
      <c r="A435" s="4" t="str">
        <f ca="1">IFERROR(__xludf.DUMMYFUNCTION("""COMPUTED_VALUE"""),"Opw 434 Tot zijn eer en heerlijkheid")</f>
        <v>Opw 434 Tot zijn eer en heerlijkheid</v>
      </c>
    </row>
    <row r="436" spans="1:1" ht="13" x14ac:dyDescent="0.15">
      <c r="A436" s="4" t="str">
        <f ca="1">IFERROR(__xludf.DUMMYFUNCTION("""COMPUTED_VALUE"""),"Opw 435 Heer, uw koninkrijk breekt baan")</f>
        <v>Opw 435 Heer, uw koninkrijk breekt baan</v>
      </c>
    </row>
    <row r="437" spans="1:1" ht="13" x14ac:dyDescent="0.15">
      <c r="A437" s="4" t="str">
        <f ca="1">IFERROR(__xludf.DUMMYFUNCTION("""COMPUTED_VALUE"""),"Opw 436 Onze Vader (Marcel Zimmer)")</f>
        <v>Opw 436 Onze Vader (Marcel Zimmer)</v>
      </c>
    </row>
    <row r="438" spans="1:1" ht="13" x14ac:dyDescent="0.15">
      <c r="A438" s="4" t="str">
        <f ca="1">IFERROR(__xludf.DUMMYFUNCTION("""COMPUTED_VALUE"""),"Opw 437 Verhoog de Here God")</f>
        <v>Opw 437 Verhoog de Here God</v>
      </c>
    </row>
    <row r="439" spans="1:1" ht="13" x14ac:dyDescent="0.15">
      <c r="A439" s="4" t="str">
        <f ca="1">IFERROR(__xludf.DUMMYFUNCTION("""COMPUTED_VALUE"""),"Opw 438 Ik buig neer")</f>
        <v>Opw 438 Ik buig neer</v>
      </c>
    </row>
    <row r="440" spans="1:1" ht="13" x14ac:dyDescent="0.15">
      <c r="A440" s="4" t="str">
        <f ca="1">IFERROR(__xludf.DUMMYFUNCTION("""COMPUTED_VALUE"""),"Opw 439 Machtig is de naam van de Heer")</f>
        <v>Opw 439 Machtig is de naam van de Heer</v>
      </c>
    </row>
    <row r="441" spans="1:1" ht="13" x14ac:dyDescent="0.15">
      <c r="A441" s="4" t="str">
        <f ca="1">IFERROR(__xludf.DUMMYFUNCTION("""COMPUTED_VALUE"""),"Opw 440 Machtig zijn al uw daden, Heer")</f>
        <v>Opw 440 Machtig zijn al uw daden, Heer</v>
      </c>
    </row>
    <row r="442" spans="1:1" ht="13" x14ac:dyDescent="0.15">
      <c r="A442" s="4" t="str">
        <f ca="1">IFERROR(__xludf.DUMMYFUNCTION("""COMPUTED_VALUE"""),"Opw 441 De kracht van Jezus")</f>
        <v>Opw 441 De kracht van Jezus</v>
      </c>
    </row>
    <row r="443" spans="1:1" ht="13" x14ac:dyDescent="0.15">
      <c r="A443" s="4" t="str">
        <f ca="1">IFERROR(__xludf.DUMMYFUNCTION("""COMPUTED_VALUE"""),"Opw 442 Prijst Hem, prijst Hem")</f>
        <v>Opw 442 Prijst Hem, prijst Hem</v>
      </c>
    </row>
    <row r="444" spans="1:1" ht="13" x14ac:dyDescent="0.15">
      <c r="A444" s="4" t="str">
        <f ca="1">IFERROR(__xludf.DUMMYFUNCTION("""COMPUTED_VALUE"""),"Opw 443 Voor eeuwig dankbaar/U wachtte niet op mij, want ik dwaalde af")</f>
        <v>Opw 443 Voor eeuwig dankbaar/U wachtte niet op mij, want ik dwaalde af</v>
      </c>
    </row>
    <row r="445" spans="1:1" ht="13" x14ac:dyDescent="0.15">
      <c r="A445" s="4" t="str">
        <f ca="1">IFERROR(__xludf.DUMMYFUNCTION("""COMPUTED_VALUE"""),"Opw 444 Heel mijn ziel roept naar U")</f>
        <v>Opw 444 Heel mijn ziel roept naar U</v>
      </c>
    </row>
    <row r="446" spans="1:1" ht="13" x14ac:dyDescent="0.15">
      <c r="A446" s="4" t="str">
        <f ca="1">IFERROR(__xludf.DUMMYFUNCTION("""COMPUTED_VALUE"""),"Opw 445 Bron van levend water")</f>
        <v>Opw 445 Bron van levend water</v>
      </c>
    </row>
    <row r="447" spans="1:1" ht="13" x14ac:dyDescent="0.15">
      <c r="A447" s="4" t="str">
        <f ca="1">IFERROR(__xludf.DUMMYFUNCTION("""COMPUTED_VALUE"""),"Opw 446 Daar is kracht/Wilt u van zonde en schuld zijn verlost")</f>
        <v>Opw 446 Daar is kracht/Wilt u van zonde en schuld zijn verlost</v>
      </c>
    </row>
    <row r="448" spans="1:1" ht="13" x14ac:dyDescent="0.15">
      <c r="A448" s="4" t="str">
        <f ca="1">IFERROR(__xludf.DUMMYFUNCTION("""COMPUTED_VALUE"""),"Opw 447 Ik ben vrijgekocht")</f>
        <v>Opw 447 Ik ben vrijgekocht</v>
      </c>
    </row>
    <row r="449" spans="1:1" ht="13" x14ac:dyDescent="0.15">
      <c r="A449" s="4" t="str">
        <f ca="1">IFERROR(__xludf.DUMMYFUNCTION("""COMPUTED_VALUE"""),"Opw 448 Hij, die de Zoon bevrijdt")</f>
        <v>Opw 448 Hij, die de Zoon bevrijdt</v>
      </c>
    </row>
    <row r="450" spans="1:1" ht="13" x14ac:dyDescent="0.15">
      <c r="A450" s="4" t="str">
        <f ca="1">IFERROR(__xludf.DUMMYFUNCTION("""COMPUTED_VALUE"""),"Opw 449 k Ben zo blij")</f>
        <v>Opw 449 k Ben zo blij</v>
      </c>
    </row>
    <row r="451" spans="1:1" ht="13" x14ac:dyDescent="0.15">
      <c r="A451" s="4" t="str">
        <f ca="1">IFERROR(__xludf.DUMMYFUNCTION("""COMPUTED_VALUE"""),"Opw 450 Laat uw kracht zien/Jezus regeert op zijn eeuwige troon")</f>
        <v>Opw 450 Laat uw kracht zien/Jezus regeert op zijn eeuwige troon</v>
      </c>
    </row>
    <row r="452" spans="1:1" ht="13" x14ac:dyDescent="0.15">
      <c r="A452" s="4" t="str">
        <f ca="1">IFERROR(__xludf.DUMMYFUNCTION("""COMPUTED_VALUE"""),"Opw 451 Ik hef mijn ogen")</f>
        <v>Opw 451 Ik hef mijn ogen</v>
      </c>
    </row>
    <row r="453" spans="1:1" ht="13" x14ac:dyDescent="0.15">
      <c r="A453" s="4" t="str">
        <f ca="1">IFERROR(__xludf.DUMMYFUNCTION("""COMPUTED_VALUE"""),"Opw 452 Kom, o Heil'ge Geest van God")</f>
        <v>Opw 452 Kom, o Heil'ge Geest van God</v>
      </c>
    </row>
    <row r="454" spans="1:1" ht="13" x14ac:dyDescent="0.15">
      <c r="A454" s="4" t="str">
        <f ca="1">IFERROR(__xludf.DUMMYFUNCTION("""COMPUTED_VALUE"""),"Opw 453 Jezus, Jezus, heilige gezalfde Heer")</f>
        <v>Opw 453 Jezus, Jezus, heilige gezalfde Heer</v>
      </c>
    </row>
    <row r="455" spans="1:1" ht="13" x14ac:dyDescent="0.15">
      <c r="A455" s="4" t="str">
        <f ca="1">IFERROR(__xludf.DUMMYFUNCTION("""COMPUTED_VALUE"""),"Opw 454 Eeuwige God/Zegen, aanbidding")</f>
        <v>Opw 454 Eeuwige God/Zegen, aanbidding</v>
      </c>
    </row>
    <row r="456" spans="1:1" ht="13" x14ac:dyDescent="0.15">
      <c r="A456" s="4" t="str">
        <f ca="1">IFERROR(__xludf.DUMMYFUNCTION("""COMPUTED_VALUE"""),"Opw 455 Wij gaan door over grenzen")</f>
        <v>Opw 455 Wij gaan door over grenzen</v>
      </c>
    </row>
    <row r="457" spans="1:1" ht="13" x14ac:dyDescent="0.15">
      <c r="A457" s="4" t="str">
        <f ca="1">IFERROR(__xludf.DUMMYFUNCTION("""COMPUTED_VALUE"""),"Opw 456 Niet de macht van wapenen")</f>
        <v>Opw 456 Niet de macht van wapenen</v>
      </c>
    </row>
    <row r="458" spans="1:1" ht="13" x14ac:dyDescent="0.15">
      <c r="A458" s="4" t="str">
        <f ca="1">IFERROR(__xludf.DUMMYFUNCTION("""COMPUTED_VALUE"""),"Opw 457 Kom prijs de Heer")</f>
        <v>Opw 457 Kom prijs de Heer</v>
      </c>
    </row>
    <row r="459" spans="1:1" ht="13" x14ac:dyDescent="0.15">
      <c r="A459" s="4" t="str">
        <f ca="1">IFERROR(__xludf.DUMMYFUNCTION("""COMPUTED_VALUE"""),"Opw 458 De Heer is hier in glorie en luister")</f>
        <v>Opw 458 De Heer is hier in glorie en luister</v>
      </c>
    </row>
    <row r="460" spans="1:1" ht="13" x14ac:dyDescent="0.15">
      <c r="A460" s="4" t="str">
        <f ca="1">IFERROR(__xludf.DUMMYFUNCTION("""COMPUTED_VALUE"""),"Opw 459 Daar bij de rivier/Levend water, verfrissend, vrij;")</f>
        <v>Opw 459 Daar bij de rivier/Levend water, verfrissend, vrij;</v>
      </c>
    </row>
    <row r="461" spans="1:1" ht="13" x14ac:dyDescent="0.15">
      <c r="A461" s="4" t="str">
        <f ca="1">IFERROR(__xludf.DUMMYFUNCTION("""COMPUTED_VALUE"""),"Opw 460 Wat mij dierbaar was")</f>
        <v>Opw 460 Wat mij dierbaar was</v>
      </c>
    </row>
    <row r="462" spans="1:1" ht="13" x14ac:dyDescent="0.15">
      <c r="A462" s="4" t="str">
        <f ca="1">IFERROR(__xludf.DUMMYFUNCTION("""COMPUTED_VALUE"""),"Opw 461 Juich voor de Heer/Mijn Jezus, mijn redder")</f>
        <v>Opw 461 Juich voor de Heer/Mijn Jezus, mijn redder</v>
      </c>
    </row>
    <row r="463" spans="1:1" ht="13" x14ac:dyDescent="0.15">
      <c r="A463" s="4" t="str">
        <f ca="1">IFERROR(__xludf.DUMMYFUNCTION("""COMPUTED_VALUE"""),"Opw 462 Aan uw voeten Heer")</f>
        <v>Opw 462 Aan uw voeten Heer</v>
      </c>
    </row>
    <row r="464" spans="1:1" ht="13" x14ac:dyDescent="0.15">
      <c r="A464" s="4" t="str">
        <f ca="1">IFERROR(__xludf.DUMMYFUNCTION("""COMPUTED_VALUE"""),"Opw 463 Vader, daal nu met uw Geest neer")</f>
        <v>Opw 463 Vader, daal nu met uw Geest neer</v>
      </c>
    </row>
    <row r="465" spans="1:1" ht="13" x14ac:dyDescent="0.15">
      <c r="A465" s="4" t="str">
        <f ca="1">IFERROR(__xludf.DUMMYFUNCTION("""COMPUTED_VALUE"""),"Opw 464 Wees stil voor het aangezicht van God")</f>
        <v>Opw 464 Wees stil voor het aangezicht van God</v>
      </c>
    </row>
    <row r="466" spans="1:1" ht="13" x14ac:dyDescent="0.15">
      <c r="A466" s="4" t="str">
        <f ca="1">IFERROR(__xludf.DUMMYFUNCTION("""COMPUTED_VALUE"""),"Opw 465 Ik prijs U Heer, God van 't heelal")</f>
        <v>Opw 465 Ik prijs U Heer, God van 't heelal</v>
      </c>
    </row>
    <row r="467" spans="1:1" ht="13" x14ac:dyDescent="0.15">
      <c r="A467" s="4" t="str">
        <f ca="1">IFERROR(__xludf.DUMMYFUNCTION("""COMPUTED_VALUE"""),"Opw 466 Wandel in het licht")</f>
        <v>Opw 466 Wandel in het licht</v>
      </c>
    </row>
    <row r="468" spans="1:1" ht="13" x14ac:dyDescent="0.15">
      <c r="A468" s="4" t="str">
        <f ca="1">IFERROR(__xludf.DUMMYFUNCTION("""COMPUTED_VALUE"""),"Opw 467 Zend uw vuur/Wij zijn zout en wij zijn licht")</f>
        <v>Opw 467 Zend uw vuur/Wij zijn zout en wij zijn licht</v>
      </c>
    </row>
    <row r="469" spans="1:1" ht="13" x14ac:dyDescent="0.15">
      <c r="A469" s="4" t="str">
        <f ca="1">IFERROR(__xludf.DUMMYFUNCTION("""COMPUTED_VALUE"""),"Opw 468 Wij willen dat Jezus wordt verhoogd")</f>
        <v>Opw 468 Wij willen dat Jezus wordt verhoogd</v>
      </c>
    </row>
    <row r="470" spans="1:1" ht="13" x14ac:dyDescent="0.15">
      <c r="A470" s="4" t="str">
        <f ca="1">IFERROR(__xludf.DUMMYFUNCTION("""COMPUTED_VALUE"""),"Opw 469 Halleluja, Jezus Christus leeft!")</f>
        <v>Opw 469 Halleluja, Jezus Christus leeft!</v>
      </c>
    </row>
    <row r="471" spans="1:1" ht="13" x14ac:dyDescent="0.15">
      <c r="A471" s="4" t="str">
        <f ca="1">IFERROR(__xludf.DUMMYFUNCTION("""COMPUTED_VALUE"""),"Opw 470 Omdat U zoveel van mij hield/Heer, als ik denk aan wat U voor mij deed")</f>
        <v>Opw 470 Omdat U zoveel van mij hield/Heer, als ik denk aan wat U voor mij deed</v>
      </c>
    </row>
    <row r="472" spans="1:1" ht="13" x14ac:dyDescent="0.15">
      <c r="A472" s="4" t="str">
        <f ca="1">IFERROR(__xludf.DUMMYFUNCTION("""COMPUTED_VALUE"""),"Opw 471 Heer, raak mijn hart aan")</f>
        <v>Opw 471 Heer, raak mijn hart aan</v>
      </c>
    </row>
    <row r="473" spans="1:1" ht="13" x14ac:dyDescent="0.15">
      <c r="A473" s="4" t="str">
        <f ca="1">IFERROR(__xludf.DUMMYFUNCTION("""COMPUTED_VALUE"""),"Opw 472 Geloof, hoop en liefde/Blaas met de adem van uw Geest op ons")</f>
        <v>Opw 472 Geloof, hoop en liefde/Blaas met de adem van uw Geest op ons</v>
      </c>
    </row>
    <row r="474" spans="1:1" ht="13" x14ac:dyDescent="0.15">
      <c r="A474" s="4" t="str">
        <f ca="1">IFERROR(__xludf.DUMMYFUNCTION("""COMPUTED_VALUE"""),"Opw 473 Dansend over de gouden straten/Zing een heerlijk lied van vreugde")</f>
        <v>Opw 473 Dansend over de gouden straten/Zing een heerlijk lied van vreugde</v>
      </c>
    </row>
    <row r="475" spans="1:1" ht="13" x14ac:dyDescent="0.15">
      <c r="A475" s="4" t="str">
        <f ca="1">IFERROR(__xludf.DUMMYFUNCTION("""COMPUTED_VALUE"""),"Opw 474 Niemand is als U")</f>
        <v>Opw 474 Niemand is als U</v>
      </c>
    </row>
    <row r="476" spans="1:1" ht="13" x14ac:dyDescent="0.15">
      <c r="A476" s="4" t="str">
        <f ca="1">IFERROR(__xludf.DUMMYFUNCTION("""COMPUTED_VALUE"""),"Opw 475 Majesteit, Koning in eeuwigheid")</f>
        <v>Opw 475 Majesteit, Koning in eeuwigheid</v>
      </c>
    </row>
    <row r="477" spans="1:1" ht="13" x14ac:dyDescent="0.15">
      <c r="A477" s="4" t="str">
        <f ca="1">IFERROR(__xludf.DUMMYFUNCTION("""COMPUTED_VALUE"""),"Opw 476 O, wat een machtige God")</f>
        <v>Opw 476 O, wat een machtige God</v>
      </c>
    </row>
    <row r="478" spans="1:1" ht="13" x14ac:dyDescent="0.15">
      <c r="A478" s="4" t="str">
        <f ca="1">IFERROR(__xludf.DUMMYFUNCTION("""COMPUTED_VALUE"""),"Opw 477 Jezus, wij vieren dat U overwon")</f>
        <v>Opw 477 Jezus, wij vieren dat U overwon</v>
      </c>
    </row>
    <row r="479" spans="1:1" ht="13" x14ac:dyDescent="0.15">
      <c r="A479" s="4" t="str">
        <f ca="1">IFERROR(__xludf.DUMMYFUNCTION("""COMPUTED_VALUE"""),"Opw 478 Speel nu luid op de trompet")</f>
        <v>Opw 478 Speel nu luid op de trompet</v>
      </c>
    </row>
    <row r="480" spans="1:1" ht="13" x14ac:dyDescent="0.15">
      <c r="A480" s="4" t="str">
        <f ca="1">IFERROR(__xludf.DUMMYFUNCTION("""COMPUTED_VALUE"""),"Opw 479 Wij zijn meer dan overwinnaars")</f>
        <v>Opw 479 Wij zijn meer dan overwinnaars</v>
      </c>
    </row>
    <row r="481" spans="1:1" ht="13" x14ac:dyDescent="0.15">
      <c r="A481" s="4" t="str">
        <f ca="1">IFERROR(__xludf.DUMMYFUNCTION("""COMPUTED_VALUE"""),"Opw 480 U stierf voor mij, mijn Jezus")</f>
        <v>Opw 480 U stierf voor mij, mijn Jezus</v>
      </c>
    </row>
    <row r="482" spans="1:1" ht="13" x14ac:dyDescent="0.15">
      <c r="A482" s="4" t="str">
        <f ca="1">IFERROR(__xludf.DUMMYFUNCTION("""COMPUTED_VALUE"""),"Opw 481 Ik aanbid U")</f>
        <v>Opw 481 Ik aanbid U</v>
      </c>
    </row>
    <row r="483" spans="1:1" ht="13" x14ac:dyDescent="0.15">
      <c r="A483" s="4" t="str">
        <f ca="1">IFERROR(__xludf.DUMMYFUNCTION("""COMPUTED_VALUE"""),"Opw 482 De Heer onze God: Hij is Koning")</f>
        <v>Opw 482 De Heer onze God: Hij is Koning</v>
      </c>
    </row>
    <row r="484" spans="1:1" ht="13" x14ac:dyDescent="0.15">
      <c r="A484" s="4" t="str">
        <f ca="1">IFERROR(__xludf.DUMMYFUNCTION("""COMPUTED_VALUE"""),"Opw 483 O zie, de Heer zit op zijn troon")</f>
        <v>Opw 483 O zie, de Heer zit op zijn troon</v>
      </c>
    </row>
    <row r="485" spans="1:1" ht="13" x14ac:dyDescent="0.15">
      <c r="A485" s="4" t="str">
        <f ca="1">IFERROR(__xludf.DUMMYFUNCTION("""COMPUTED_VALUE"""),"Opw 484 Ik wil altijd zijn waar U bent")</f>
        <v>Opw 484 Ik wil altijd zijn waar U bent</v>
      </c>
    </row>
    <row r="486" spans="1:1" ht="13" x14ac:dyDescent="0.15">
      <c r="A486" s="4" t="str">
        <f ca="1">IFERROR(__xludf.DUMMYFUNCTION("""COMPUTED_VALUE"""),"Opw 485 Wij doorbreken elke muur/Er is een plaats waar de Heer ons zegent")</f>
        <v>Opw 485 Wij doorbreken elke muur/Er is een plaats waar de Heer ons zegent</v>
      </c>
    </row>
    <row r="487" spans="1:1" ht="13" x14ac:dyDescent="0.15">
      <c r="A487" s="4" t="str">
        <f ca="1">IFERROR(__xludf.DUMMYFUNCTION("""COMPUTED_VALUE"""),"Opw 486 Ga dan in zijn naam/Wij zijn Gods kind'ren")</f>
        <v>Opw 486 Ga dan in zijn naam/Wij zijn Gods kind'ren</v>
      </c>
    </row>
    <row r="488" spans="1:1" ht="13" x14ac:dyDescent="0.15">
      <c r="A488" s="4" t="str">
        <f ca="1">IFERROR(__xludf.DUMMYFUNCTION("""COMPUTED_VALUE"""),"Opw 487 O Heer, giet een stroom")</f>
        <v>Opw 487 O Heer, giet een stroom</v>
      </c>
    </row>
    <row r="489" spans="1:1" ht="13" x14ac:dyDescent="0.15">
      <c r="A489" s="4" t="str">
        <f ca="1">IFERROR(__xludf.DUMMYFUNCTION("""COMPUTED_VALUE"""),"Opw 488 Heer, ik kom tot U, neem mijn hart")</f>
        <v>Opw 488 Heer, ik kom tot U, neem mijn hart</v>
      </c>
    </row>
    <row r="490" spans="1:1" ht="13" x14ac:dyDescent="0.15">
      <c r="A490" s="4" t="str">
        <f ca="1">IFERROR(__xludf.DUMMYFUNCTION("""COMPUTED_VALUE"""),"Opw 489 U bent Vader van de schepping/Wij willen U ontmoeten")</f>
        <v>Opw 489 U bent Vader van de schepping/Wij willen U ontmoeten</v>
      </c>
    </row>
    <row r="491" spans="1:1" ht="13" x14ac:dyDescent="0.15">
      <c r="A491" s="4" t="str">
        <f ca="1">IFERROR(__xludf.DUMMYFUNCTION("""COMPUTED_VALUE"""),"Opw 490 Luid gejuich en jubellied vervullen het huis")</f>
        <v>Opw 490 Luid gejuich en jubellied vervullen het huis</v>
      </c>
    </row>
    <row r="492" spans="1:1" ht="13" x14ac:dyDescent="0.15">
      <c r="A492" s="4" t="str">
        <f ca="1">IFERROR(__xludf.DUMMYFUNCTION("""COMPUTED_VALUE"""),"Opw 491 Kom, wees blij in de Heer")</f>
        <v>Opw 491 Kom, wees blij in de Heer</v>
      </c>
    </row>
    <row r="493" spans="1:1" ht="13" x14ac:dyDescent="0.15">
      <c r="A493" s="4" t="str">
        <f ca="1">IFERROR(__xludf.DUMMYFUNCTION("""COMPUTED_VALUE"""),"Opw 492 Groot is de luister van Jezus/Wie kleurt de zon als de dag openbloeit")</f>
        <v>Opw 492 Groot is de luister van Jezus/Wie kleurt de zon als de dag openbloeit</v>
      </c>
    </row>
    <row r="494" spans="1:1" ht="13" x14ac:dyDescent="0.15">
      <c r="A494" s="4" t="str">
        <f ca="1">IFERROR(__xludf.DUMMYFUNCTION("""COMPUTED_VALUE"""),"Opw 493 Jezus, wat een heerlijke naam")</f>
        <v>Opw 493 Jezus, wat een heerlijke naam</v>
      </c>
    </row>
    <row r="495" spans="1:1" ht="13" x14ac:dyDescent="0.15">
      <c r="A495" s="4" t="str">
        <f ca="1">IFERROR(__xludf.DUMMYFUNCTION("""COMPUTED_VALUE"""),"Opw 494 Uw liefde heb ik lief/Soms als ik uw liefde voel")</f>
        <v>Opw 494 Uw liefde heb ik lief/Soms als ik uw liefde voel</v>
      </c>
    </row>
    <row r="496" spans="1:1" ht="13" x14ac:dyDescent="0.15">
      <c r="A496" s="4" t="str">
        <f ca="1">IFERROR(__xludf.DUMMYFUNCTION("""COMPUTED_VALUE"""),"Opw 495 Hemelse Vader, door uw genade")</f>
        <v>Opw 495 Hemelse Vader, door uw genade</v>
      </c>
    </row>
    <row r="497" spans="1:1" ht="13" x14ac:dyDescent="0.15">
      <c r="A497" s="4" t="str">
        <f ca="1">IFERROR(__xludf.DUMMYFUNCTION("""COMPUTED_VALUE"""),"Opw 496 Kadosh / Heilig")</f>
        <v>Opw 496 Kadosh / Heilig</v>
      </c>
    </row>
    <row r="498" spans="1:1" ht="13" x14ac:dyDescent="0.15">
      <c r="A498" s="4" t="str">
        <f ca="1">IFERROR(__xludf.DUMMYFUNCTION("""COMPUTED_VALUE"""),"Opw 497 Ik wil leven door uw Geest")</f>
        <v>Opw 497 Ik wil leven door uw Geest</v>
      </c>
    </row>
    <row r="499" spans="1:1" ht="13" x14ac:dyDescent="0.15">
      <c r="A499" s="4" t="str">
        <f ca="1">IFERROR(__xludf.DUMMYFUNCTION("""COMPUTED_VALUE"""),"Opw 498 Alleen door U/Er is een stad met gouden straten")</f>
        <v>Opw 498 Alleen door U/Er is een stad met gouden straten</v>
      </c>
    </row>
    <row r="500" spans="1:1" ht="13" x14ac:dyDescent="0.15">
      <c r="A500" s="4" t="str">
        <f ca="1">IFERROR(__xludf.DUMMYFUNCTION("""COMPUTED_VALUE"""),"Opw 499 Hij komt in majesteit/Zie het Lam van God: Hij nadert")</f>
        <v>Opw 499 Hij komt in majesteit/Zie het Lam van God: Hij nadert</v>
      </c>
    </row>
    <row r="501" spans="1:1" ht="13" x14ac:dyDescent="0.15">
      <c r="A501" s="4" t="str">
        <f ca="1">IFERROR(__xludf.DUMMYFUNCTION("""COMPUTED_VALUE"""),"Opw 500 Heer, ik prijs uw naam")</f>
        <v>Opw 500 Heer, ik prijs uw naam</v>
      </c>
    </row>
    <row r="502" spans="1:1" ht="13" x14ac:dyDescent="0.15">
      <c r="A502" s="4" t="str">
        <f ca="1">IFERROR(__xludf.DUMMYFUNCTION("""COMPUTED_VALUE"""),"Opw 501 Laat uw vrede heersen/Vader, mijn God, ik aanbid U")</f>
        <v>Opw 501 Laat uw vrede heersen/Vader, mijn God, ik aanbid U</v>
      </c>
    </row>
    <row r="503" spans="1:1" ht="13" x14ac:dyDescent="0.15">
      <c r="A503" s="4" t="str">
        <f ca="1">IFERROR(__xludf.DUMMYFUNCTION("""COMPUTED_VALUE"""),"Opw 502 Jezus, ik wil heel dicht bij U komen")</f>
        <v>Opw 502 Jezus, ik wil heel dicht bij U komen</v>
      </c>
    </row>
    <row r="504" spans="1:1" ht="13" x14ac:dyDescent="0.15">
      <c r="A504" s="4" t="str">
        <f ca="1">IFERROR(__xludf.DUMMYFUNCTION("""COMPUTED_VALUE"""),"Opw 503 Overvloedig geef Ik u / Vrede zij u(overvloedig)")</f>
        <v>Opw 503 Overvloedig geef Ik u / Vrede zij u(overvloedig)</v>
      </c>
    </row>
    <row r="505" spans="1:1" ht="13" x14ac:dyDescent="0.15">
      <c r="A505" s="4" t="str">
        <f ca="1">IFERROR(__xludf.DUMMYFUNCTION("""COMPUTED_VALUE"""),"Opw 504 Roep het luid/Hoor, een roep klinkt wereldwijd")</f>
        <v>Opw 504 Roep het luid/Hoor, een roep klinkt wereldwijd</v>
      </c>
    </row>
    <row r="506" spans="1:1" ht="13" x14ac:dyDescent="0.15">
      <c r="A506" s="4" t="str">
        <f ca="1">IFERROR(__xludf.DUMMYFUNCTION("""COMPUTED_VALUE"""),"Opw 505 Toon uw heerlijkheid/Vader van de schepping")</f>
        <v>Opw 505 Toon uw heerlijkheid/Vader van de schepping</v>
      </c>
    </row>
    <row r="507" spans="1:1" ht="13" x14ac:dyDescent="0.15">
      <c r="A507" s="4" t="str">
        <f ca="1">IFERROR(__xludf.DUMMYFUNCTION("""COMPUTED_VALUE"""),"Opw 506 Zing het lied van het Lam/Ik zing van het Lam")</f>
        <v>Opw 506 Zing het lied van het Lam/Ik zing van het Lam</v>
      </c>
    </row>
    <row r="508" spans="1:1" ht="13" x14ac:dyDescent="0.15">
      <c r="A508" s="4" t="str">
        <f ca="1">IFERROR(__xludf.DUMMYFUNCTION("""COMPUTED_VALUE"""),"Opw 507 t Is goed om U te ontmoeten")</f>
        <v>Opw 507 t Is goed om U te ontmoeten</v>
      </c>
    </row>
    <row r="509" spans="1:1" ht="13" x14ac:dyDescent="0.15">
      <c r="A509" s="4" t="str">
        <f ca="1">IFERROR(__xludf.DUMMYFUNCTION("""COMPUTED_VALUE"""),"Opw 508 God is zo groot")</f>
        <v>Opw 508 God is zo groot</v>
      </c>
    </row>
    <row r="510" spans="1:1" ht="13" x14ac:dyDescent="0.15">
      <c r="A510" s="4" t="str">
        <f ca="1">IFERROR(__xludf.DUMMYFUNCTION("""COMPUTED_VALUE"""),"Opw 509 Zo lief had God de Vader ons")</f>
        <v>Opw 509 Zo lief had God de Vader ons</v>
      </c>
    </row>
    <row r="511" spans="1:1" ht="13" x14ac:dyDescent="0.15">
      <c r="A511" s="4" t="str">
        <f ca="1">IFERROR(__xludf.DUMMYFUNCTION("""COMPUTED_VALUE"""),"Opw 510 Dit is mijn verlangen/ Ik geef U mijn hart")</f>
        <v>Opw 510 Dit is mijn verlangen/ Ik geef U mijn hart</v>
      </c>
    </row>
    <row r="512" spans="1:1" ht="13" x14ac:dyDescent="0.15">
      <c r="A512" s="4" t="str">
        <f ca="1">IFERROR(__xludf.DUMMYFUNCTION("""COMPUTED_VALUE"""),"Opw 511 Heer van genade/Maak mijn hart vol van uw heerlijkheid")</f>
        <v>Opw 511 Heer van genade/Maak mijn hart vol van uw heerlijkheid</v>
      </c>
    </row>
    <row r="513" spans="1:1" ht="13" x14ac:dyDescent="0.15">
      <c r="A513" s="4" t="str">
        <f ca="1">IFERROR(__xludf.DUMMYFUNCTION("""COMPUTED_VALUE"""),"Opw 512 Wij verhogen U")</f>
        <v>Opw 512 Wij verhogen U</v>
      </c>
    </row>
    <row r="514" spans="1:1" ht="13" x14ac:dyDescent="0.15">
      <c r="A514" s="4" t="str">
        <f ca="1">IFERROR(__xludf.DUMMYFUNCTION("""COMPUTED_VALUE"""),"Opw 513 Halleluja, halleluja, halleluja/ De almachtige God")</f>
        <v>Opw 513 Halleluja, halleluja, halleluja/ De almachtige God</v>
      </c>
    </row>
    <row r="515" spans="1:1" ht="13" x14ac:dyDescent="0.15">
      <c r="A515" s="4" t="str">
        <f ca="1">IFERROR(__xludf.DUMMYFUNCTION("""COMPUTED_VALUE"""),"Opw 514 I went to the enemy’s camp")</f>
        <v>Opw 514 I went to the enemy’s camp</v>
      </c>
    </row>
    <row r="516" spans="1:1" ht="13" x14ac:dyDescent="0.15">
      <c r="A516" s="4" t="str">
        <f ca="1">IFERROR(__xludf.DUMMYFUNCTION("""COMPUTED_VALUE"""),"Opw 515 Can you believe")</f>
        <v>Opw 515 Can you believe</v>
      </c>
    </row>
    <row r="517" spans="1:1" ht="13" x14ac:dyDescent="0.15">
      <c r="A517" s="4" t="str">
        <f ca="1">IFERROR(__xludf.DUMMYFUNCTION("""COMPUTED_VALUE"""),"Opw 516 Look what the Lord has done")</f>
        <v>Opw 516 Look what the Lord has done</v>
      </c>
    </row>
    <row r="518" spans="1:1" ht="13" x14ac:dyDescent="0.15">
      <c r="A518" s="4" t="str">
        <f ca="1">IFERROR(__xludf.DUMMYFUNCTION("""COMPUTED_VALUE"""),"Opw 517 Gezegend zijn zij")</f>
        <v>Opw 517 Gezegend zijn zij</v>
      </c>
    </row>
    <row r="519" spans="1:1" ht="13" x14ac:dyDescent="0.15">
      <c r="A519" s="4" t="str">
        <f ca="1">IFERROR(__xludf.DUMMYFUNCTION("""COMPUTED_VALUE"""),"Opw 518 Heer, U bent altijd bij mij/Heer, U doorgrondt en kent mij")</f>
        <v>Opw 518 Heer, U bent altijd bij mij/Heer, U doorgrondt en kent mij</v>
      </c>
    </row>
    <row r="520" spans="1:1" ht="13" x14ac:dyDescent="0.15">
      <c r="A520" s="4" t="str">
        <f ca="1">IFERROR(__xludf.DUMMYFUNCTION("""COMPUTED_VALUE"""),"Opw 519 Ik vertrouw op U")</f>
        <v>Opw 519 Ik vertrouw op U</v>
      </c>
    </row>
    <row r="521" spans="1:1" ht="13" x14ac:dyDescent="0.15">
      <c r="A521" s="4" t="str">
        <f ca="1">IFERROR(__xludf.DUMMYFUNCTION("""COMPUTED_VALUE"""),"Opw 520 Wees mijn verlangen")</f>
        <v>Opw 520 Wees mijn verlangen</v>
      </c>
    </row>
    <row r="522" spans="1:1" ht="13" x14ac:dyDescent="0.15">
      <c r="A522" s="4" t="str">
        <f ca="1">IFERROR(__xludf.DUMMYFUNCTION("""COMPUTED_VALUE"""),"Opw 521 Ik ren naar U toe/U zorgt voor heel de schepping")</f>
        <v>Opw 521 Ik ren naar U toe/U zorgt voor heel de schepping</v>
      </c>
    </row>
    <row r="523" spans="1:1" ht="13" x14ac:dyDescent="0.15">
      <c r="A523" s="4" t="str">
        <f ca="1">IFERROR(__xludf.DUMMYFUNCTION("""COMPUTED_VALUE"""),"Opw 522 Er komt een tijd van grote opwekking/Vader, stort uw Geest uit")</f>
        <v>Opw 522 Er komt een tijd van grote opwekking/Vader, stort uw Geest uit</v>
      </c>
    </row>
    <row r="524" spans="1:1" ht="13" x14ac:dyDescent="0.15">
      <c r="A524" s="4" t="str">
        <f ca="1">IFERROR(__xludf.DUMMYFUNCTION("""COMPUTED_VALUE"""),"Opw 523 De sterre gaat stralen/Laat ieder het horen")</f>
        <v>Opw 523 De sterre gaat stralen/Laat ieder het horen</v>
      </c>
    </row>
    <row r="525" spans="1:1" ht="13" x14ac:dyDescent="0.15">
      <c r="A525" s="4" t="str">
        <f ca="1">IFERROR(__xludf.DUMMYFUNCTION("""COMPUTED_VALUE"""),"Opw 524 Het licht verschijnt/Als 's morgens de zon opgaat")</f>
        <v>Opw 524 Het licht verschijnt/Als 's morgens de zon opgaat</v>
      </c>
    </row>
    <row r="526" spans="1:1" ht="13" x14ac:dyDescent="0.15">
      <c r="A526" s="4" t="str">
        <f ca="1">IFERROR(__xludf.DUMMYFUNCTION("""COMPUTED_VALUE"""),"Opw 525 Jubel het uit")</f>
        <v>Opw 525 Jubel het uit</v>
      </c>
    </row>
    <row r="527" spans="1:1" ht="13" x14ac:dyDescent="0.15">
      <c r="A527" s="4" t="str">
        <f ca="1">IFERROR(__xludf.DUMMYFUNCTION("""COMPUTED_VALUE"""),"Opw 526 Goed nieuws, goed nieuws")</f>
        <v>Opw 526 Goed nieuws, goed nieuws</v>
      </c>
    </row>
    <row r="528" spans="1:1" ht="13" x14ac:dyDescent="0.15">
      <c r="A528" s="4" t="str">
        <f ca="1">IFERROR(__xludf.DUMMYFUNCTION("""COMPUTED_VALUE"""),"Opw 527 Licht in de nacht")</f>
        <v>Opw 527 Licht in de nacht</v>
      </c>
    </row>
    <row r="529" spans="1:1" ht="13" x14ac:dyDescent="0.15">
      <c r="A529" s="4" t="str">
        <f ca="1">IFERROR(__xludf.DUMMYFUNCTION("""COMPUTED_VALUE"""),"Opw 528 Hoor, de engelen zingen de eer")</f>
        <v>Opw 528 Hoor, de engelen zingen de eer</v>
      </c>
    </row>
    <row r="530" spans="1:1" ht="13" x14ac:dyDescent="0.15">
      <c r="A530" s="4" t="str">
        <f ca="1">IFERROR(__xludf.DUMMYFUNCTION("""COMPUTED_VALUE"""),"Opw 529 Komt, laten wij aanbidden")</f>
        <v>Opw 529 Komt, laten wij aanbidden</v>
      </c>
    </row>
    <row r="531" spans="1:1" ht="13" x14ac:dyDescent="0.15">
      <c r="A531" s="4" t="str">
        <f ca="1">IFERROR(__xludf.DUMMYFUNCTION("""COMPUTED_VALUE"""),"Opw 530 Bewijs nu eer aan Jezus’ naam")</f>
        <v>Opw 530 Bewijs nu eer aan Jezus’ naam</v>
      </c>
    </row>
    <row r="532" spans="1:1" ht="13" x14ac:dyDescent="0.15">
      <c r="A532" s="4" t="str">
        <f ca="1">IFERROR(__xludf.DUMMYFUNCTION("""COMPUTED_VALUE"""),"Opw 531 Immanuël, o Immanuël")</f>
        <v>Opw 531 Immanuël, o Immanuël</v>
      </c>
    </row>
    <row r="533" spans="1:1" ht="13" x14ac:dyDescent="0.15">
      <c r="A533" s="4" t="str">
        <f ca="1">IFERROR(__xludf.DUMMYFUNCTION("""COMPUTED_VALUE"""),"Opw 532 Wees gerust")</f>
        <v>Opw 532 Wees gerust</v>
      </c>
    </row>
    <row r="534" spans="1:1" ht="13" x14ac:dyDescent="0.15">
      <c r="A534" s="4" t="str">
        <f ca="1">IFERROR(__xludf.DUMMYFUNCTION("""COMPUTED_VALUE"""),"Opw 533 Eén klein kind")</f>
        <v>Opw 533 Eén klein kind</v>
      </c>
    </row>
    <row r="535" spans="1:1" ht="13" x14ac:dyDescent="0.15">
      <c r="A535" s="4" t="str">
        <f ca="1">IFERROR(__xludf.DUMMYFUNCTION("""COMPUTED_VALUE"""),"Opw 534 Jezus, Gods heerlijkheid verschijnt")</f>
        <v>Opw 534 Jezus, Gods heerlijkheid verschijnt</v>
      </c>
    </row>
    <row r="536" spans="1:1" ht="13" x14ac:dyDescent="0.15">
      <c r="A536" s="4" t="str">
        <f ca="1">IFERROR(__xludf.DUMMYFUNCTION("""COMPUTED_VALUE"""),"Opw 535 In het stro van een geleende kribbe")</f>
        <v>Opw 535 In het stro van een geleende kribbe</v>
      </c>
    </row>
    <row r="537" spans="1:1" ht="13" x14ac:dyDescent="0.15">
      <c r="A537" s="4" t="str">
        <f ca="1">IFERROR(__xludf.DUMMYFUNCTION("""COMPUTED_VALUE"""),"Opw 536 Kind van het licht (Zuiderveld)/Hoe lang heeft de mensheid gebeden")</f>
        <v>Opw 536 Kind van het licht (Zuiderveld)/Hoe lang heeft de mensheid gebeden</v>
      </c>
    </row>
    <row r="538" spans="1:1" ht="13" x14ac:dyDescent="0.15">
      <c r="A538" s="4" t="str">
        <f ca="1">IFERROR(__xludf.DUMMYFUNCTION("""COMPUTED_VALUE"""),"Opw 537 Ere zij God, ere zij God")</f>
        <v>Opw 537 Ere zij God, ere zij God</v>
      </c>
    </row>
    <row r="539" spans="1:1" ht="13" x14ac:dyDescent="0.15">
      <c r="A539" s="4" t="str">
        <f ca="1">IFERROR(__xludf.DUMMYFUNCTION("""COMPUTED_VALUE"""),"Opw 538 De Koning komt, dit is het uur")</f>
        <v>Opw 538 De Koning komt, dit is het uur</v>
      </c>
    </row>
    <row r="540" spans="1:1" ht="13" x14ac:dyDescent="0.15">
      <c r="A540" s="4" t="str">
        <f ca="1">IFERROR(__xludf.DUMMYFUNCTION("""COMPUTED_VALUE"""),"Opw 539 Kom, nu is de tijd: aanbid Hem")</f>
        <v>Opw 539 Kom, nu is de tijd: aanbid Hem</v>
      </c>
    </row>
    <row r="541" spans="1:1" ht="13" x14ac:dyDescent="0.15">
      <c r="A541" s="4" t="str">
        <f ca="1">IFERROR(__xludf.DUMMYFUNCTION("""COMPUTED_VALUE"""),"Opw 540 Kom, laten wij aanbidden/Hij mat de wateren met zijn hand")</f>
        <v>Opw 540 Kom, laten wij aanbidden/Hij mat de wateren met zijn hand</v>
      </c>
    </row>
    <row r="542" spans="1:1" ht="13" x14ac:dyDescent="0.15">
      <c r="A542" s="4" t="str">
        <f ca="1">IFERROR(__xludf.DUMMYFUNCTION("""COMPUTED_VALUE"""),"Opw 541 Alles is mogelijk/Almachtig God die mij bevrijdt")</f>
        <v>Opw 541 Alles is mogelijk/Almachtig God die mij bevrijdt</v>
      </c>
    </row>
    <row r="543" spans="1:1" ht="13" x14ac:dyDescent="0.15">
      <c r="A543" s="4" t="str">
        <f ca="1">IFERROR(__xludf.DUMMYFUNCTION("""COMPUTED_VALUE"""),"Opw 542 God van trouw")</f>
        <v>Opw 542 God van trouw</v>
      </c>
    </row>
    <row r="544" spans="1:1" ht="13" x14ac:dyDescent="0.15">
      <c r="A544" s="4" t="str">
        <f ca="1">IFERROR(__xludf.DUMMYFUNCTION("""COMPUTED_VALUE"""),"Opw 543 U bent de Heer die ik dien/U maakte mij tot een ander mens")</f>
        <v>Opw 543 U bent de Heer die ik dien/U maakte mij tot een ander mens</v>
      </c>
    </row>
    <row r="545" spans="1:1" ht="13" x14ac:dyDescent="0.15">
      <c r="A545" s="4" t="str">
        <f ca="1">IFERROR(__xludf.DUMMYFUNCTION("""COMPUTED_VALUE"""),"Opw 544 Meer dan ooit/Meer dan rijkdom, meer dan macht")</f>
        <v>Opw 544 Meer dan ooit/Meer dan rijkdom, meer dan macht</v>
      </c>
    </row>
    <row r="546" spans="1:1" ht="13" x14ac:dyDescent="0.15">
      <c r="A546" s="4" t="str">
        <f ca="1">IFERROR(__xludf.DUMMYFUNCTION("""COMPUTED_VALUE"""),"Opw 545 Op dat moment/Jezus, Heer, wanneer ik aan uw offer denk")</f>
        <v>Opw 545 Op dat moment/Jezus, Heer, wanneer ik aan uw offer denk</v>
      </c>
    </row>
    <row r="547" spans="1:1" ht="13" x14ac:dyDescent="0.15">
      <c r="A547" s="4" t="str">
        <f ca="1">IFERROR(__xludf.DUMMYFUNCTION("""COMPUTED_VALUE"""),"Opw 546 Nabij Gods hoog verheven troon")</f>
        <v>Opw 546 Nabij Gods hoog verheven troon</v>
      </c>
    </row>
    <row r="548" spans="1:1" ht="13" x14ac:dyDescent="0.15">
      <c r="A548" s="4" t="str">
        <f ca="1">IFERROR(__xludf.DUMMYFUNCTION("""COMPUTED_VALUE"""),"Opw 547 Vrolijk lied/Ik kan wel blijven zingen")</f>
        <v>Opw 547 Vrolijk lied/Ik kan wel blijven zingen</v>
      </c>
    </row>
    <row r="549" spans="1:1" ht="13" x14ac:dyDescent="0.15">
      <c r="A549" s="4" t="str">
        <f ca="1">IFERROR(__xludf.DUMMYFUNCTION("""COMPUTED_VALUE"""),"Opw 548 Hart van aanbidding/ De muziek vervaagt")</f>
        <v>Opw 548 Hart van aanbidding/ De muziek vervaagt</v>
      </c>
    </row>
    <row r="550" spans="1:1" ht="13" x14ac:dyDescent="0.15">
      <c r="A550" s="4" t="str">
        <f ca="1">IFERROR(__xludf.DUMMYFUNCTION("""COMPUTED_VALUE"""),"Opw 549 Ik kniel neer en belijd")</f>
        <v>Opw 549 Ik kniel neer en belijd</v>
      </c>
    </row>
    <row r="551" spans="1:1" ht="13" x14ac:dyDescent="0.15">
      <c r="A551" s="4" t="str">
        <f ca="1">IFERROR(__xludf.DUMMYFUNCTION("""COMPUTED_VALUE"""),"Opw 550 Liefdevol trekt U mij dicht aan uw hart")</f>
        <v>Opw 550 Liefdevol trekt U mij dicht aan uw hart</v>
      </c>
    </row>
    <row r="552" spans="1:1" ht="13" x14ac:dyDescent="0.15">
      <c r="A552" s="4" t="str">
        <f ca="1">IFERROR(__xludf.DUMMYFUNCTION("""COMPUTED_VALUE"""),"Opw 551 Ik zie uit naar de dag")</f>
        <v>Opw 551 Ik zie uit naar de dag</v>
      </c>
    </row>
    <row r="553" spans="1:1" ht="13" x14ac:dyDescent="0.15">
      <c r="A553" s="4" t="str">
        <f ca="1">IFERROR(__xludf.DUMMYFUNCTION("""COMPUTED_VALUE"""),"Opw 552 Herstel ons land/Als mijn volk zich vernedert voor Mij")</f>
        <v>Opw 552 Herstel ons land/Als mijn volk zich vernedert voor Mij</v>
      </c>
    </row>
    <row r="554" spans="1:1" ht="13" x14ac:dyDescent="0.15">
      <c r="A554" s="4" t="str">
        <f ca="1">IFERROR(__xludf.DUMMYFUNCTION("""COMPUTED_VALUE"""),"Opw 553 Hoor ons loflied/Laat het feest zijn in de huizen")</f>
        <v>Opw 553 Hoor ons loflied/Laat het feest zijn in de huizen</v>
      </c>
    </row>
    <row r="555" spans="1:1" ht="13" x14ac:dyDescent="0.15">
      <c r="A555" s="4" t="str">
        <f ca="1">IFERROR(__xludf.DUMMYFUNCTION("""COMPUTED_VALUE"""),"Opw 554 Mijn verlosser leeft/Ik weet: Hij heeft mij gered")</f>
        <v>Opw 554 Mijn verlosser leeft/Ik weet: Hij heeft mij gered</v>
      </c>
    </row>
    <row r="556" spans="1:1" ht="13" x14ac:dyDescent="0.15">
      <c r="A556" s="4" t="str">
        <f ca="1">IFERROR(__xludf.DUMMYFUNCTION("""COMPUTED_VALUE"""),"Opw 555 Ik geloof in het bloed van Jezus")</f>
        <v>Opw 555 Ik geloof in het bloed van Jezus</v>
      </c>
    </row>
    <row r="557" spans="1:1" ht="13" x14ac:dyDescent="0.15">
      <c r="A557" s="4" t="str">
        <f ca="1">IFERROR(__xludf.DUMMYFUNCTION("""COMPUTED_VALUE"""),"Opw 556 Prijst God die ons het leven geeft")</f>
        <v>Opw 556 Prijst God die ons het leven geeft</v>
      </c>
    </row>
    <row r="558" spans="1:1" ht="13" x14ac:dyDescent="0.15">
      <c r="A558" s="4" t="str">
        <f ca="1">IFERROR(__xludf.DUMMYFUNCTION("""COMPUTED_VALUE"""),"Opw 557 Laat uw glorie zien")</f>
        <v>Opw 557 Laat uw glorie zien</v>
      </c>
    </row>
    <row r="559" spans="1:1" ht="13" x14ac:dyDescent="0.15">
      <c r="A559" s="4" t="str">
        <f ca="1">IFERROR(__xludf.DUMMYFUNCTION("""COMPUTED_VALUE"""),"Opw 558 Voor uw grote naam /Wij zijn als adem, U was er altijd")</f>
        <v>Opw 558 Voor uw grote naam /Wij zijn als adem, U was er altijd</v>
      </c>
    </row>
    <row r="560" spans="1:1" ht="13" x14ac:dyDescent="0.15">
      <c r="A560" s="4" t="str">
        <f ca="1">IFERROR(__xludf.DUMMYFUNCTION("""COMPUTED_VALUE"""),"Opw 559 Schijn met uw licht in mijn hart, Heer")</f>
        <v>Opw 559 Schijn met uw licht in mijn hart, Heer</v>
      </c>
    </row>
    <row r="561" spans="1:1" ht="13" x14ac:dyDescent="0.15">
      <c r="A561" s="4" t="str">
        <f ca="1">IFERROR(__xludf.DUMMYFUNCTION("""COMPUTED_VALUE"""),"Opw 560 Mijn eerste liefde doet vuur oplaaien")</f>
        <v>Opw 560 Mijn eerste liefde doet vuur oplaaien</v>
      </c>
    </row>
    <row r="562" spans="1:1" ht="13" x14ac:dyDescent="0.15">
      <c r="A562" s="4" t="str">
        <f ca="1">IFERROR(__xludf.DUMMYFUNCTION("""COMPUTED_VALUE"""),"Opw 561 Nederig van hart/Hier aan uw voeten, Heer")</f>
        <v>Opw 561 Nederig van hart/Hier aan uw voeten, Heer</v>
      </c>
    </row>
    <row r="563" spans="1:1" ht="13" x14ac:dyDescent="0.15">
      <c r="A563" s="4" t="str">
        <f ca="1">IFERROR(__xludf.DUMMYFUNCTION("""COMPUTED_VALUE"""),"Opw 562 Voor altijd mijn vriend/U noemde mijn bij mijn naam")</f>
        <v>Opw 562 Voor altijd mijn vriend/U noemde mijn bij mijn naam</v>
      </c>
    </row>
    <row r="564" spans="1:1" ht="13" x14ac:dyDescent="0.15">
      <c r="A564" s="4" t="str">
        <f ca="1">IFERROR(__xludf.DUMMYFUNCTION("""COMPUTED_VALUE"""),"Opw 563 I have a light")</f>
        <v>Opw 563 I have a light</v>
      </c>
    </row>
    <row r="565" spans="1:1" ht="13" x14ac:dyDescent="0.15">
      <c r="A565" s="4" t="str">
        <f ca="1">IFERROR(__xludf.DUMMYFUNCTION("""COMPUTED_VALUE"""),"Opw 564 Ik loop de wedloop die voor mij ligt")</f>
        <v>Opw 564 Ik loop de wedloop die voor mij ligt</v>
      </c>
    </row>
    <row r="566" spans="1:1" ht="13" x14ac:dyDescent="0.15">
      <c r="A566" s="4" t="str">
        <f ca="1">IFERROR(__xludf.DUMMYFUNCTION("""COMPUTED_VALUE"""),"Opw 565 Geest van God, blaas op mij")</f>
        <v>Opw 565 Geest van God, blaas op mij</v>
      </c>
    </row>
    <row r="567" spans="1:1" ht="13" x14ac:dyDescent="0.15">
      <c r="A567" s="4" t="str">
        <f ca="1">IFERROR(__xludf.DUMMYFUNCTION("""COMPUTED_VALUE"""),"Opw 566 Machtig Heer/Ik verlang naar uw aanwezigheid")</f>
        <v>Opw 566 Machtig Heer/Ik verlang naar uw aanwezigheid</v>
      </c>
    </row>
    <row r="568" spans="1:1" ht="13" x14ac:dyDescent="0.15">
      <c r="A568" s="4" t="str">
        <f ca="1">IFERROR(__xludf.DUMMYFUNCTION("""COMPUTED_VALUE"""),"Opw 567 Jezus, Jezus, Heiland, Redder")</f>
        <v>Opw 567 Jezus, Jezus, Heiland, Redder</v>
      </c>
    </row>
    <row r="569" spans="1:1" ht="13" x14ac:dyDescent="0.15">
      <c r="A569" s="4" t="str">
        <f ca="1">IFERROR(__xludf.DUMMYFUNCTION("""COMPUTED_VALUE"""),"Opw 568 Vier nu feest, geef Hem eer")</f>
        <v>Opw 568 Vier nu feest, geef Hem eer</v>
      </c>
    </row>
    <row r="570" spans="1:1" ht="13" x14ac:dyDescent="0.15">
      <c r="A570" s="4" t="str">
        <f ca="1">IFERROR(__xludf.DUMMYFUNCTION("""COMPUTED_VALUE"""),"Opw 569 Regeer in mij/Over al wat leeft, bent U de hoogste Heer")</f>
        <v>Opw 569 Regeer in mij/Over al wat leeft, bent U de hoogste Heer</v>
      </c>
    </row>
    <row r="571" spans="1:1" ht="13" x14ac:dyDescent="0.15">
      <c r="A571" s="4" t="str">
        <f ca="1">IFERROR(__xludf.DUMMYFUNCTION("""COMPUTED_VALUE"""),"Opw 570 Dit is de tijd van Elia")</f>
        <v>Opw 570 Dit is de tijd van Elia</v>
      </c>
    </row>
    <row r="572" spans="1:1" ht="13" x14ac:dyDescent="0.15">
      <c r="A572" s="4" t="str">
        <f ca="1">IFERROR(__xludf.DUMMYFUNCTION("""COMPUTED_VALUE"""),"Opw 571 Dit is de dag die de Heer ons geeft (Fitts)")</f>
        <v>Opw 571 Dit is de dag die de Heer ons geeft (Fitts)</v>
      </c>
    </row>
    <row r="573" spans="1:1" ht="13" x14ac:dyDescent="0.15">
      <c r="A573" s="4" t="str">
        <f ca="1">IFERROR(__xludf.DUMMYFUNCTION("""COMPUTED_VALUE"""),"Opw 572 Als wij samenkomen")</f>
        <v>Opw 572 Als wij samenkomen</v>
      </c>
    </row>
    <row r="574" spans="1:1" ht="13" x14ac:dyDescent="0.15">
      <c r="A574" s="4" t="str">
        <f ca="1">IFERROR(__xludf.DUMMYFUNCTION("""COMPUTED_VALUE"""),"Opw 573 U bent welkom/We zijn hier bij elkaar")</f>
        <v>Opw 573 U bent welkom/We zijn hier bij elkaar</v>
      </c>
    </row>
    <row r="575" spans="1:1" ht="13" x14ac:dyDescent="0.15">
      <c r="A575" s="4" t="str">
        <f ca="1">IFERROR(__xludf.DUMMYFUNCTION("""COMPUTED_VALUE"""),"Opw 574 Groot is Hij")</f>
        <v>Opw 574 Groot is Hij</v>
      </c>
    </row>
    <row r="576" spans="1:1" ht="13" x14ac:dyDescent="0.15">
      <c r="A576" s="4" t="str">
        <f ca="1">IFERROR(__xludf.DUMMYFUNCTION("""COMPUTED_VALUE"""),"Opw 575 Jezus alleen, ik bouw op Hem")</f>
        <v>Opw 575 Jezus alleen, ik bouw op Hem</v>
      </c>
    </row>
    <row r="577" spans="1:1" ht="13" x14ac:dyDescent="0.15">
      <c r="A577" s="4" t="str">
        <f ca="1">IFERROR(__xludf.DUMMYFUNCTION("""COMPUTED_VALUE"""),"Opw 576 Immanuël/Als wij samen U aanbidden")</f>
        <v>Opw 576 Immanuël/Als wij samen U aanbidden</v>
      </c>
    </row>
    <row r="578" spans="1:1" ht="13" x14ac:dyDescent="0.15">
      <c r="A578" s="4" t="str">
        <f ca="1">IFERROR(__xludf.DUMMYFUNCTION("""COMPUTED_VALUE"""),"Opw 577 Jezus, allerhoogste naam")</f>
        <v>Opw 577 Jezus, allerhoogste naam</v>
      </c>
    </row>
    <row r="579" spans="1:1" ht="13" x14ac:dyDescent="0.15">
      <c r="A579" s="4" t="str">
        <f ca="1">IFERROR(__xludf.DUMMYFUNCTION("""COMPUTED_VALUE"""),"Opw 578 U redde mij en riep mijn naam")</f>
        <v>Opw 578 U redde mij en riep mijn naam</v>
      </c>
    </row>
    <row r="580" spans="1:1" ht="13" x14ac:dyDescent="0.15">
      <c r="A580" s="4" t="str">
        <f ca="1">IFERROR(__xludf.DUMMYFUNCTION("""COMPUTED_VALUE"""),"Opw 579 Dank U, dank U voor uw kostbare bloed")</f>
        <v>Opw 579 Dank U, dank U voor uw kostbare bloed</v>
      </c>
    </row>
    <row r="581" spans="1:1" ht="13" x14ac:dyDescent="0.15">
      <c r="A581" s="4" t="str">
        <f ca="1">IFERROR(__xludf.DUMMYFUNCTION("""COMPUTED_VALUE"""),"Opw 580 Ik ben zo dankbaar/Jezus, Hij kwam om ons leven te geven")</f>
        <v>Opw 580 Ik ben zo dankbaar/Jezus, Hij kwam om ons leven te geven</v>
      </c>
    </row>
    <row r="582" spans="1:1" ht="13" x14ac:dyDescent="0.15">
      <c r="A582" s="4" t="str">
        <f ca="1">IFERROR(__xludf.DUMMYFUNCTION("""COMPUTED_VALUE"""),"Opw 581 Til mij op/Ik wil heel dicht bij U zijn")</f>
        <v>Opw 581 Til mij op/Ik wil heel dicht bij U zijn</v>
      </c>
    </row>
    <row r="583" spans="1:1" ht="13" x14ac:dyDescent="0.15">
      <c r="A583" s="4" t="str">
        <f ca="1">IFERROR(__xludf.DUMMYFUNCTION("""COMPUTED_VALUE"""),"Opw 582 Jezus, alles geef ik U")</f>
        <v>Opw 582 Jezus, alles geef ik U</v>
      </c>
    </row>
    <row r="584" spans="1:1" ht="13" x14ac:dyDescent="0.15">
      <c r="A584" s="4" t="str">
        <f ca="1">IFERROR(__xludf.DUMMYFUNCTION("""COMPUTED_VALUE"""),"Opw 583 Machtige Heer en God")</f>
        <v>Opw 583 Machtige Heer en God</v>
      </c>
    </row>
    <row r="585" spans="1:1" ht="13" x14ac:dyDescent="0.15">
      <c r="A585" s="4" t="str">
        <f ca="1">IFERROR(__xludf.DUMMYFUNCTION("""COMPUTED_VALUE"""),"Opw 584 Heilig is de Heer onze God/ Zo machtig, zo waardig")</f>
        <v>Opw 584 Heilig is de Heer onze God/ Zo machtig, zo waardig</v>
      </c>
    </row>
    <row r="586" spans="1:1" ht="13" x14ac:dyDescent="0.15">
      <c r="A586" s="4" t="str">
        <f ca="1">IFERROR(__xludf.DUMMYFUNCTION("""COMPUTED_VALUE"""),"Opw 585 Er is een dag")</f>
        <v>Opw 585 Er is een dag</v>
      </c>
    </row>
    <row r="587" spans="1:1" ht="13" x14ac:dyDescent="0.15">
      <c r="A587" s="4" t="str">
        <f ca="1">IFERROR(__xludf.DUMMYFUNCTION("""COMPUTED_VALUE"""),"Opw 586 Hij is Heer/Heel de schepping geeft U eer")</f>
        <v>Opw 586 Hij is Heer/Heel de schepping geeft U eer</v>
      </c>
    </row>
    <row r="588" spans="1:1" ht="13" x14ac:dyDescent="0.15">
      <c r="A588" s="4" t="str">
        <f ca="1">IFERROR(__xludf.DUMMYFUNCTION("""COMPUTED_VALUE"""),"Opw 587 U geeft een nieuw lied/Ik was verloren, maar U redde mij")</f>
        <v>Opw 587 U geeft een nieuw lied/Ik was verloren, maar U redde mij</v>
      </c>
    </row>
    <row r="589" spans="1:1" ht="13" x14ac:dyDescent="0.15">
      <c r="A589" s="4" t="str">
        <f ca="1">IFERROR(__xludf.DUMMYFUNCTION("""COMPUTED_VALUE"""),"Opw 588 Er is geen vriend zo trouw als Jezus")</f>
        <v>Opw 588 Er is geen vriend zo trouw als Jezus</v>
      </c>
    </row>
    <row r="590" spans="1:1" ht="13" x14ac:dyDescent="0.15">
      <c r="A590" s="4" t="str">
        <f ca="1">IFERROR(__xludf.DUMMYFUNCTION("""COMPUTED_VALUE"""),"Opw 589 Ik wil juichen voor U, mijn Heer")</f>
        <v>Opw 589 Ik wil juichen voor U, mijn Heer</v>
      </c>
    </row>
    <row r="591" spans="1:1" ht="13" x14ac:dyDescent="0.15">
      <c r="A591" s="4" t="str">
        <f ca="1">IFERROR(__xludf.DUMMYFUNCTION("""COMPUTED_VALUE"""),"Opw 590 O mijn ziel, sta op en prijs je maker")</f>
        <v>Opw 590 O mijn ziel, sta op en prijs je maker</v>
      </c>
    </row>
    <row r="592" spans="1:1" ht="13" x14ac:dyDescent="0.15">
      <c r="A592" s="4" t="str">
        <f ca="1">IFERROR(__xludf.DUMMYFUNCTION("""COMPUTED_VALUE"""),"Opw 591 Ik zie de Heer")</f>
        <v>Opw 591 Ik zie de Heer</v>
      </c>
    </row>
    <row r="593" spans="1:1" ht="13" x14ac:dyDescent="0.15">
      <c r="A593" s="4" t="str">
        <f ca="1">IFERROR(__xludf.DUMMYFUNCTION("""COMPUTED_VALUE"""),"Opw 592 God van licht, schijn in mij")</f>
        <v>Opw 592 God van licht, schijn in mij</v>
      </c>
    </row>
    <row r="594" spans="1:1" ht="13" x14ac:dyDescent="0.15">
      <c r="A594" s="4" t="str">
        <f ca="1">IFERROR(__xludf.DUMMYFUNCTION("""COMPUTED_VALUE"""),"Opw 593 Lam van God, o, heilig Lam van God")</f>
        <v>Opw 593 Lam van God, o, heilig Lam van God</v>
      </c>
    </row>
    <row r="595" spans="1:1" ht="13" x14ac:dyDescent="0.15">
      <c r="A595" s="4" t="str">
        <f ca="1">IFERROR(__xludf.DUMMYFUNCTION("""COMPUTED_VALUE"""),"Opw 594 Uw naam is heilig/U bent 'Ik ben' op de troon")</f>
        <v>Opw 594 Uw naam is heilig/U bent 'Ik ben' op de troon</v>
      </c>
    </row>
    <row r="596" spans="1:1" ht="13" x14ac:dyDescent="0.15">
      <c r="A596" s="4" t="str">
        <f ca="1">IFERROR(__xludf.DUMMYFUNCTION("""COMPUTED_VALUE"""),"Opw 595 Licht van de wereld")</f>
        <v>Opw 595 Licht van de wereld</v>
      </c>
    </row>
    <row r="597" spans="1:1" ht="13" x14ac:dyDescent="0.15">
      <c r="A597" s="4" t="str">
        <f ca="1">IFERROR(__xludf.DUMMYFUNCTION("""COMPUTED_VALUE"""),"Opw 596 Doordrenk mij, Heer/Uw liefde, stralend als de zon")</f>
        <v>Opw 596 Doordrenk mij, Heer/Uw liefde, stralend als de zon</v>
      </c>
    </row>
    <row r="598" spans="1:1" ht="13" x14ac:dyDescent="0.15">
      <c r="A598" s="4" t="str">
        <f ca="1">IFERROR(__xludf.DUMMYFUNCTION("""COMPUTED_VALUE"""),"Opw 597 Uw liefde is zo prachtig")</f>
        <v>Opw 597 Uw liefde is zo prachtig</v>
      </c>
    </row>
    <row r="599" spans="1:1" ht="13" x14ac:dyDescent="0.15">
      <c r="A599" s="4" t="str">
        <f ca="1">IFERROR(__xludf.DUMMYFUNCTION("""COMPUTED_VALUE"""),"Opw 598 Uw sterke hand/Machtige Heer, grote Verlosser")</f>
        <v>Opw 598 Uw sterke hand/Machtige Heer, grote Verlosser</v>
      </c>
    </row>
    <row r="600" spans="1:1" ht="13" x14ac:dyDescent="0.15">
      <c r="A600" s="4" t="str">
        <f ca="1">IFERROR(__xludf.DUMMYFUNCTION("""COMPUTED_VALUE"""),"Opw 599 Kom tot de Vader/Nog voordat je bestond")</f>
        <v>Opw 599 Kom tot de Vader/Nog voordat je bestond</v>
      </c>
    </row>
    <row r="601" spans="1:1" ht="13" x14ac:dyDescent="0.15">
      <c r="A601" s="4" t="str">
        <f ca="1">IFERROR(__xludf.DUMMYFUNCTION("""COMPUTED_VALUE"""),"Opw 600 Open mijn ogen voor de schoonheid van uw schepping")</f>
        <v>Opw 600 Open mijn ogen voor de schoonheid van uw schepping</v>
      </c>
    </row>
    <row r="602" spans="1:1" ht="13" x14ac:dyDescent="0.15">
      <c r="A602" s="4" t="str">
        <f ca="1">IFERROR(__xludf.DUMMYFUNCTION("""COMPUTED_VALUE"""),"Opw 601 Deel door ons uw liefde uit")</f>
        <v>Opw 601 Deel door ons uw liefde uit</v>
      </c>
    </row>
    <row r="603" spans="1:1" ht="13" x14ac:dyDescent="0.15">
      <c r="A603" s="4" t="str">
        <f ca="1">IFERROR(__xludf.DUMMYFUNCTION("""COMPUTED_VALUE"""),"Opw 602 Vrede van God")</f>
        <v>Opw 602 Vrede van God</v>
      </c>
    </row>
    <row r="604" spans="1:1" ht="13" x14ac:dyDescent="0.15">
      <c r="A604" s="4" t="str">
        <f ca="1">IFERROR(__xludf.DUMMYFUNCTION("""COMPUTED_VALUE"""),"Opw 603 Vier nu feest, want God is goed/Ruil nu je rouwkleed in")</f>
        <v>Opw 603 Vier nu feest, want God is goed/Ruil nu je rouwkleed in</v>
      </c>
    </row>
    <row r="605" spans="1:1" ht="13" x14ac:dyDescent="0.15">
      <c r="A605" s="4" t="str">
        <f ca="1">IFERROR(__xludf.DUMMYFUNCTION("""COMPUTED_VALUE"""),"Opw 604 Kom en laat ons prijzen")</f>
        <v>Opw 604 Kom en laat ons prijzen</v>
      </c>
    </row>
    <row r="606" spans="1:1" ht="13" x14ac:dyDescent="0.15">
      <c r="A606" s="4" t="str">
        <f ca="1">IFERROR(__xludf.DUMMYFUNCTION("""COMPUTED_VALUE"""),"Opw 605 Geef ons een lofgewaad, Heer")</f>
        <v>Opw 605 Geef ons een lofgewaad, Heer</v>
      </c>
    </row>
    <row r="607" spans="1:1" ht="13" x14ac:dyDescent="0.15">
      <c r="A607" s="4" t="str">
        <f ca="1">IFERROR(__xludf.DUMMYFUNCTION("""COMPUTED_VALUE"""),"Opw 606 Veilig, veilig, veilig rustend in uw armen, Heer")</f>
        <v>Opw 606 Veilig, veilig, veilig rustend in uw armen, Heer</v>
      </c>
    </row>
    <row r="608" spans="1:1" ht="13" x14ac:dyDescent="0.15">
      <c r="A608" s="4" t="str">
        <f ca="1">IFERROR(__xludf.DUMMYFUNCTION("""COMPUTED_VALUE"""),"Opw 607 Machtige Redder/Elke dag wil ik zingen van uw liefde")</f>
        <v>Opw 607 Machtige Redder/Elke dag wil ik zingen van uw liefde</v>
      </c>
    </row>
    <row r="609" spans="1:1" ht="13" x14ac:dyDescent="0.15">
      <c r="A609" s="4" t="str">
        <f ca="1">IFERROR(__xludf.DUMMYFUNCTION("""COMPUTED_VALUE"""),"Opw 608 Waai met uw Geest, Heer")</f>
        <v>Opw 608 Waai met uw Geest, Heer</v>
      </c>
    </row>
    <row r="610" spans="1:1" ht="13" x14ac:dyDescent="0.15">
      <c r="A610" s="4" t="str">
        <f ca="1">IFERROR(__xludf.DUMMYFUNCTION("""COMPUTED_VALUE"""),"Opw 609 U bent heilig")</f>
        <v>Opw 609 U bent heilig</v>
      </c>
    </row>
    <row r="611" spans="1:1" ht="13" x14ac:dyDescent="0.15">
      <c r="A611" s="4" t="str">
        <f ca="1">IFERROR(__xludf.DUMMYFUNCTION("""COMPUTED_VALUE"""),"Opw 610 Als gebed de hemel raakt/Wij staan voor uw troon")</f>
        <v>Opw 610 Als gebed de hemel raakt/Wij staan voor uw troon</v>
      </c>
    </row>
    <row r="612" spans="1:1" ht="13" x14ac:dyDescent="0.15">
      <c r="A612" s="4" t="str">
        <f ca="1">IFERROR(__xludf.DUMMYFUNCTION("""COMPUTED_VALUE"""),"Opw 611 Niet door kracht")</f>
        <v>Opw 611 Niet door kracht</v>
      </c>
    </row>
    <row r="613" spans="1:1" ht="13" x14ac:dyDescent="0.15">
      <c r="A613" s="4" t="str">
        <f ca="1">IFERROR(__xludf.DUMMYFUNCTION("""COMPUTED_VALUE"""),"Opw 612 En ik kom tot U/In uw aanwezigheid")</f>
        <v>Opw 612 En ik kom tot U/In uw aanwezigheid</v>
      </c>
    </row>
    <row r="614" spans="1:1" ht="13" x14ac:dyDescent="0.15">
      <c r="A614" s="4" t="str">
        <f ca="1">IFERROR(__xludf.DUMMYFUNCTION("""COMPUTED_VALUE"""),"Opw 613 Geliefde, Gezegende")</f>
        <v>Opw 613 Geliefde, Gezegende</v>
      </c>
    </row>
    <row r="615" spans="1:1" ht="13" x14ac:dyDescent="0.15">
      <c r="A615" s="4" t="str">
        <f ca="1">IFERROR(__xludf.DUMMYFUNCTION("""COMPUTED_VALUE"""),"Opw 614 Uw genade is mij genoeg/Zie, hoe Jezus daar loopt in Jeruzalem")</f>
        <v>Opw 614 Uw genade is mij genoeg/Zie, hoe Jezus daar loopt in Jeruzalem</v>
      </c>
    </row>
    <row r="616" spans="1:1" ht="13" x14ac:dyDescent="0.15">
      <c r="A616" s="4" t="str">
        <f ca="1">IFERROR(__xludf.DUMMYFUNCTION("""COMPUTED_VALUE"""),"Opw 615 Waardig is het Lam/Dank U voor het kruis Heer")</f>
        <v>Opw 615 Waardig is het Lam/Dank U voor het kruis Heer</v>
      </c>
    </row>
    <row r="617" spans="1:1" ht="13" x14ac:dyDescent="0.15">
      <c r="A617" s="4" t="str">
        <f ca="1">IFERROR(__xludf.DUMMYFUNCTION("""COMPUTED_VALUE"""),"Opw 616 Houd me dicht bij U")</f>
        <v>Opw 616 Houd me dicht bij U</v>
      </c>
    </row>
    <row r="618" spans="1:1" ht="13" x14ac:dyDescent="0.15">
      <c r="A618" s="4" t="str">
        <f ca="1">IFERROR(__xludf.DUMMYFUNCTION("""COMPUTED_VALUE"""),"Opw 617 Hij kent mijn naam/Een machtig Maker")</f>
        <v>Opw 617 Hij kent mijn naam/Een machtig Maker</v>
      </c>
    </row>
    <row r="619" spans="1:1" ht="13" x14ac:dyDescent="0.15">
      <c r="A619" s="4" t="str">
        <f ca="1">IFERROR(__xludf.DUMMYFUNCTION("""COMPUTED_VALUE"""),"Opw 618 Jezus, hoop van de volken")</f>
        <v>Opw 618 Jezus, hoop van de volken</v>
      </c>
    </row>
    <row r="620" spans="1:1" ht="13" x14ac:dyDescent="0.15">
      <c r="A620" s="4" t="str">
        <f ca="1">IFERROR(__xludf.DUMMYFUNCTION("""COMPUTED_VALUE"""),"Opw 619 Sta op en prijs Hem!//Kom nu hemel, wees blij")</f>
        <v>Opw 619 Sta op en prijs Hem!//Kom nu hemel, wees blij</v>
      </c>
    </row>
    <row r="621" spans="1:1" ht="13" x14ac:dyDescent="0.15">
      <c r="A621" s="4" t="str">
        <f ca="1">IFERROR(__xludf.DUMMYFUNCTION("""COMPUTED_VALUE"""),"Opw 620 Voor eeuwig/Prijs God de Heer die ons leven is")</f>
        <v>Opw 620 Voor eeuwig/Prijs God de Heer die ons leven is</v>
      </c>
    </row>
    <row r="622" spans="1:1" ht="13" x14ac:dyDescent="0.15">
      <c r="A622" s="4" t="str">
        <f ca="1">IFERROR(__xludf.DUMMYFUNCTION("""COMPUTED_VALUE"""),"Opw 621 U bent mijn anker")</f>
        <v>Opw 621 U bent mijn anker</v>
      </c>
    </row>
    <row r="623" spans="1:1" ht="13" x14ac:dyDescent="0.15">
      <c r="A623" s="4" t="str">
        <f ca="1">IFERROR(__xludf.DUMMYFUNCTION("""COMPUTED_VALUE"""),"Opw 622 Groot is de Heer God Almachtig")</f>
        <v>Opw 622 Groot is de Heer God Almachtig</v>
      </c>
    </row>
    <row r="624" spans="1:1" ht="13" x14ac:dyDescent="0.15">
      <c r="A624" s="4" t="str">
        <f ca="1">IFERROR(__xludf.DUMMYFUNCTION("""COMPUTED_VALUE"""),"Opw 623 Laat het huis gevuld zijn")</f>
        <v>Opw 623 Laat het huis gevuld zijn</v>
      </c>
    </row>
    <row r="625" spans="1:1" ht="13" x14ac:dyDescent="0.15">
      <c r="A625" s="4" t="str">
        <f ca="1">IFERROR(__xludf.DUMMYFUNCTION("""COMPUTED_VALUE"""),"Opw 624 Wees genadig (Merkel)//De woorden die U sprak, Heer")</f>
        <v>Opw 624 Wees genadig (Merkel)//De woorden die U sprak, Heer</v>
      </c>
    </row>
    <row r="626" spans="1:1" ht="13" x14ac:dyDescent="0.15">
      <c r="A626" s="4" t="str">
        <f ca="1">IFERROR(__xludf.DUMMYFUNCTION("""COMPUTED_VALUE"""),"Opw 625 Wat een liefde/Bij U ben ik thuis")</f>
        <v>Opw 625 Wat een liefde/Bij U ben ik thuis</v>
      </c>
    </row>
    <row r="627" spans="1:1" ht="13" x14ac:dyDescent="0.15">
      <c r="A627" s="4" t="str">
        <f ca="1">IFERROR(__xludf.DUMMYFUNCTION("""COMPUTED_VALUE"""),"Opw 626 Prachtige God/Eindeloos, zo eindeloos")</f>
        <v>Opw 626 Prachtige God/Eindeloos, zo eindeloos</v>
      </c>
    </row>
    <row r="628" spans="1:1" ht="13" x14ac:dyDescent="0.15">
      <c r="A628" s="4" t="str">
        <f ca="1">IFERROR(__xludf.DUMMYFUNCTION("""COMPUTED_VALUE"""),"Opw 627 Jezus, licht in de duisternis")</f>
        <v>Opw 627 Jezus, licht in de duisternis</v>
      </c>
    </row>
    <row r="629" spans="1:1" ht="13" x14ac:dyDescent="0.15">
      <c r="A629" s="4" t="str">
        <f ca="1">IFERROR(__xludf.DUMMYFUNCTION("""COMPUTED_VALUE"""),"Opw 628 Een hoop die zeker is")</f>
        <v>Opw 628 Een hoop die zeker is</v>
      </c>
    </row>
    <row r="630" spans="1:1" ht="13" x14ac:dyDescent="0.15">
      <c r="A630" s="4" t="str">
        <f ca="1">IFERROR(__xludf.DUMMYFUNCTION("""COMPUTED_VALUE"""),"Opw 629 Als er vergeving is/Hoe kan ik verder leven")</f>
        <v>Opw 629 Als er vergeving is/Hoe kan ik verder leven</v>
      </c>
    </row>
    <row r="631" spans="1:1" ht="13" x14ac:dyDescent="0.15">
      <c r="A631" s="4" t="str">
        <f ca="1">IFERROR(__xludf.DUMMYFUNCTION("""COMPUTED_VALUE"""),"Opw 630 Vader, U bent goed/Op elk moment van mijn leven")</f>
        <v>Opw 630 Vader, U bent goed/Op elk moment van mijn leven</v>
      </c>
    </row>
    <row r="632" spans="1:1" ht="13" x14ac:dyDescent="0.15">
      <c r="A632" s="4" t="str">
        <f ca="1">IFERROR(__xludf.DUMMYFUNCTION("""COMPUTED_VALUE"""),"Opw 631 U zei: 'Vraag en je zult ontvangen'")</f>
        <v>Opw 631 U zei: 'Vraag en je zult ontvangen'</v>
      </c>
    </row>
    <row r="633" spans="1:1" ht="13" x14ac:dyDescent="0.15">
      <c r="A633" s="4" t="str">
        <f ca="1">IFERROR(__xludf.DUMMYFUNCTION("""COMPUTED_VALUE"""),"Opw 632 Wij zijn het leger van God")</f>
        <v>Opw 632 Wij zijn het leger van God</v>
      </c>
    </row>
    <row r="634" spans="1:1" ht="13" x14ac:dyDescent="0.15">
      <c r="A634" s="4" t="str">
        <f ca="1">IFERROR(__xludf.DUMMYFUNCTION("""COMPUTED_VALUE"""),"Opw 633 Agnus Dei (Halleluja)/Halleluja, halleluja, want de Heer God Almachtig regeert")</f>
        <v>Opw 633 Agnus Dei (Halleluja)/Halleluja, halleluja, want de Heer God Almachtig regeert</v>
      </c>
    </row>
    <row r="635" spans="1:1" ht="13" x14ac:dyDescent="0.15">
      <c r="A635" s="4" t="str">
        <f ca="1">IFERROR(__xludf.DUMMYFUNCTION("""COMPUTED_VALUE"""),"Opw 634 U bent heilig en rechtvaardig")</f>
        <v>Opw 634 U bent heilig en rechtvaardig</v>
      </c>
    </row>
    <row r="636" spans="1:1" ht="13" x14ac:dyDescent="0.15">
      <c r="A636" s="4" t="str">
        <f ca="1">IFERROR(__xludf.DUMMYFUNCTION("""COMPUTED_VALUE"""),"Opw 635 Wij zijn bij elkaar om U te eren")</f>
        <v>Opw 635 Wij zijn bij elkaar om U te eren</v>
      </c>
    </row>
    <row r="637" spans="1:1" ht="13" x14ac:dyDescent="0.15">
      <c r="A637" s="4" t="str">
        <f ca="1">IFERROR(__xludf.DUMMYFUNCTION("""COMPUTED_VALUE"""),"Opw 636 Alleen een God als U//Eer en glorie van de mens")</f>
        <v>Opw 636 Alleen een God als U//Eer en glorie van de mens</v>
      </c>
    </row>
    <row r="638" spans="1:1" ht="13" x14ac:dyDescent="0.15">
      <c r="A638" s="4" t="str">
        <f ca="1">IFERROR(__xludf.DUMMYFUNCTION("""COMPUTED_VALUE"""),"Opw 637 Erken nu de Heer")</f>
        <v>Opw 637 Erken nu de Heer</v>
      </c>
    </row>
    <row r="639" spans="1:1" ht="13" x14ac:dyDescent="0.15">
      <c r="A639" s="4" t="str">
        <f ca="1">IFERROR(__xludf.DUMMYFUNCTION("""COMPUTED_VALUE"""),"Opw 638 Prijs Adonai/Wie is als Hij")</f>
        <v>Opw 638 Prijs Adonai/Wie is als Hij</v>
      </c>
    </row>
    <row r="640" spans="1:1" ht="13" x14ac:dyDescent="0.15">
      <c r="A640" s="4" t="str">
        <f ca="1">IFERROR(__xludf.DUMMYFUNCTION("""COMPUTED_VALUE"""),"Opw 639 Ik heb U lief")</f>
        <v>Opw 639 Ik heb U lief</v>
      </c>
    </row>
    <row r="641" spans="1:1" ht="13" x14ac:dyDescent="0.15">
      <c r="A641" s="4" t="str">
        <f ca="1">IFERROR(__xludf.DUMMYFUNCTION("""COMPUTED_VALUE"""),"Opw 640 Mijn hulp is van U, Heer/Ik hef mijn ogen op naar de bergen")</f>
        <v>Opw 640 Mijn hulp is van U, Heer/Ik hef mijn ogen op naar de bergen</v>
      </c>
    </row>
    <row r="642" spans="1:1" ht="13" x14ac:dyDescent="0.15">
      <c r="A642" s="4" t="str">
        <f ca="1">IFERROR(__xludf.DUMMYFUNCTION("""COMPUTED_VALUE"""),"Opw 641 U heeft mij voor Uzelf gemaakt")</f>
        <v>Opw 641 U heeft mij voor Uzelf gemaakt</v>
      </c>
    </row>
    <row r="643" spans="1:1" ht="13" x14ac:dyDescent="0.15">
      <c r="A643" s="4" t="str">
        <f ca="1">IFERROR(__xludf.DUMMYFUNCTION("""COMPUTED_VALUE"""),"Opw 642 De Rivier/Al mijn zonden, al mijn zorgen")</f>
        <v>Opw 642 De Rivier/Al mijn zonden, al mijn zorgen</v>
      </c>
    </row>
    <row r="644" spans="1:1" ht="13" x14ac:dyDescent="0.15">
      <c r="A644" s="4" t="str">
        <f ca="1">IFERROR(__xludf.DUMMYFUNCTION("""COMPUTED_VALUE"""),"Opw 643 Al voor mijn leven is ontstaan")</f>
        <v>Opw 643 Al voor mijn leven is ontstaan</v>
      </c>
    </row>
    <row r="645" spans="1:1" ht="13" x14ac:dyDescent="0.15">
      <c r="A645" s="4" t="str">
        <f ca="1">IFERROR(__xludf.DUMMYFUNCTION("""COMPUTED_VALUE"""),"Opw 644 Ik schaam mij niet")</f>
        <v>Opw 644 Ik schaam mij niet</v>
      </c>
    </row>
    <row r="646" spans="1:1" ht="13" x14ac:dyDescent="0.15">
      <c r="A646" s="4" t="str">
        <f ca="1">IFERROR(__xludf.DUMMYFUNCTION("""COMPUTED_VALUE"""),"Opw 645 Ik kies vandaag: ik leef voor U")</f>
        <v>Opw 645 Ik kies vandaag: ik leef voor U</v>
      </c>
    </row>
    <row r="647" spans="1:1" ht="13" x14ac:dyDescent="0.15">
      <c r="A647" s="4" t="str">
        <f ca="1">IFERROR(__xludf.DUMMYFUNCTION("""COMPUTED_VALUE"""),"Opw 646 Heer, zie uw huis (Psalm 74)")</f>
        <v>Opw 646 Heer, zie uw huis (Psalm 74)</v>
      </c>
    </row>
    <row r="648" spans="1:1" ht="13" x14ac:dyDescent="0.15">
      <c r="A648" s="4" t="str">
        <f ca="1">IFERROR(__xludf.DUMMYFUNCTION("""COMPUTED_VALUE"""),"Opw 647 Toen U bad werd brood vermeerderd /Liefde, tastbaar")</f>
        <v>Opw 647 Toen U bad werd brood vermeerderd /Liefde, tastbaar</v>
      </c>
    </row>
    <row r="649" spans="1:1" ht="13" x14ac:dyDescent="0.15">
      <c r="A649" s="4" t="str">
        <f ca="1">IFERROR(__xludf.DUMMYFUNCTION("""COMPUTED_VALUE"""),"Opw 648 Levende offers/U roept ons, Vader")</f>
        <v>Opw 648 Levende offers/U roept ons, Vader</v>
      </c>
    </row>
    <row r="650" spans="1:1" ht="13" x14ac:dyDescent="0.15">
      <c r="A650" s="4" t="str">
        <f ca="1">IFERROR(__xludf.DUMMYFUNCTION("""COMPUTED_VALUE"""),"Opw 649 Bouw uw Kerk/Jezus, onze Schepper God")</f>
        <v>Opw 649 Bouw uw Kerk/Jezus, onze Schepper God</v>
      </c>
    </row>
    <row r="651" spans="1:1" ht="13" x14ac:dyDescent="0.15">
      <c r="A651" s="4" t="str">
        <f ca="1">IFERROR(__xludf.DUMMYFUNCTION("""COMPUTED_VALUE"""),"Opw 650 Daarom komt er nooit een eind/Voor uw schoonheid, ons getoond")</f>
        <v>Opw 650 Daarom komt er nooit een eind/Voor uw schoonheid, ons getoond</v>
      </c>
    </row>
    <row r="652" spans="1:1" ht="13" x14ac:dyDescent="0.15">
      <c r="A652" s="4" t="str">
        <f ca="1">IFERROR(__xludf.DUMMYFUNCTION("""COMPUTED_VALUE"""),"Opw 651 Er is een rots/U bent het licht in deze tijd")</f>
        <v>Opw 651 Er is een rots/U bent het licht in deze tijd</v>
      </c>
    </row>
    <row r="653" spans="1:1" ht="13" x14ac:dyDescent="0.15">
      <c r="A653" s="4" t="str">
        <f ca="1">IFERROR(__xludf.DUMMYFUNCTION("""COMPUTED_VALUE"""),"Opw 652 Zing voor de Koning")</f>
        <v>Opw 652 Zing voor de Koning</v>
      </c>
    </row>
    <row r="654" spans="1:1" ht="13" x14ac:dyDescent="0.15">
      <c r="A654" s="4" t="str">
        <f ca="1">IFERROR(__xludf.DUMMYFUNCTION("""COMPUTED_VALUE"""),"Opw 653 Kom, o bron van zegeningen")</f>
        <v>Opw 653 Kom, o bron van zegeningen</v>
      </c>
    </row>
    <row r="655" spans="1:1" ht="13" x14ac:dyDescent="0.15">
      <c r="A655" s="4" t="str">
        <f ca="1">IFERROR(__xludf.DUMMYFUNCTION("""COMPUTED_VALUE"""),"Opw 654 De vreugde van U is mijn kracht/Dank U voor deze nieuwe dag")</f>
        <v>Opw 654 De vreugde van U is mijn kracht/Dank U voor deze nieuwe dag</v>
      </c>
    </row>
    <row r="656" spans="1:1" ht="13" x14ac:dyDescent="0.15">
      <c r="A656" s="4" t="str">
        <f ca="1">IFERROR(__xludf.DUMMYFUNCTION("""COMPUTED_VALUE"""),"Opw 655 Ik prijs U met mijn dans/Ik wil zingen voor de Heer")</f>
        <v>Opw 655 Ik prijs U met mijn dans/Ik wil zingen voor de Heer</v>
      </c>
    </row>
    <row r="657" spans="1:1" ht="13" x14ac:dyDescent="0.15">
      <c r="A657" s="4" t="str">
        <f ca="1">IFERROR(__xludf.DUMMYFUNCTION("""COMPUTED_VALUE"""),"Opw 656 Ontwaak, verhef je stem")</f>
        <v>Opw 656 Ontwaak, verhef je stem</v>
      </c>
    </row>
    <row r="658" spans="1:1" ht="13" x14ac:dyDescent="0.15">
      <c r="A658" s="4" t="str">
        <f ca="1">IFERROR(__xludf.DUMMYFUNCTION("""COMPUTED_VALUE"""),"Opw 657 Zie het kruis/Zie, de dag breekt aan")</f>
        <v>Opw 657 Zie het kruis/Zie, de dag breekt aan</v>
      </c>
    </row>
    <row r="659" spans="1:1" ht="13" x14ac:dyDescent="0.15">
      <c r="A659" s="4" t="str">
        <f ca="1">IFERROR(__xludf.DUMMYFUNCTION("""COMPUTED_VALUE"""),"Opw 658 Jezus, uw naam")</f>
        <v>Opw 658 Jezus, uw naam</v>
      </c>
    </row>
    <row r="660" spans="1:1" ht="13" x14ac:dyDescent="0.15">
      <c r="A660" s="4" t="str">
        <f ca="1">IFERROR(__xludf.DUMMYFUNCTION("""COMPUTED_VALUE"""),"Opw 659 Jezus, stralend licht")</f>
        <v>Opw 659 Jezus, stralend licht</v>
      </c>
    </row>
    <row r="661" spans="1:1" ht="13" x14ac:dyDescent="0.15">
      <c r="A661" s="4" t="str">
        <f ca="1">IFERROR(__xludf.DUMMYFUNCTION("""COMPUTED_VALUE"""),"Opw 660 U bent welkom in dit huis/Bron van leven, stroom van zegen")</f>
        <v>Opw 660 U bent welkom in dit huis/Bron van leven, stroom van zegen</v>
      </c>
    </row>
    <row r="662" spans="1:1" ht="13" x14ac:dyDescent="0.15">
      <c r="A662" s="4" t="str">
        <f ca="1">IFERROR(__xludf.DUMMYFUNCTION("""COMPUTED_VALUE"""),"Opw 661 De Koning in zijn pracht/Maak groot onze God")</f>
        <v>Opw 661 De Koning in zijn pracht/Maak groot onze God</v>
      </c>
    </row>
    <row r="663" spans="1:1" ht="13" x14ac:dyDescent="0.15">
      <c r="A663" s="4" t="str">
        <f ca="1">IFERROR(__xludf.DUMMYFUNCTION("""COMPUTED_VALUE"""),"Opw 662 God regeert/U bent heilig, heilig Heer")</f>
        <v>Opw 662 God regeert/U bent heilig, heilig Heer</v>
      </c>
    </row>
    <row r="664" spans="1:1" ht="13" x14ac:dyDescent="0.15">
      <c r="A664" s="4" t="str">
        <f ca="1">IFERROR(__xludf.DUMMYFUNCTION("""COMPUTED_VALUE"""),"Opw 663 Het gaat steeds om U/Jezus, redder van mijn ziel")</f>
        <v>Opw 663 Het gaat steeds om U/Jezus, redder van mijn ziel</v>
      </c>
    </row>
    <row r="665" spans="1:1" ht="13" x14ac:dyDescent="0.15">
      <c r="A665" s="4" t="str">
        <f ca="1">IFERROR(__xludf.DUMMYFUNCTION("""COMPUTED_VALUE"""),"Opw 664 Wij buigen neer/Rijken en armen")</f>
        <v>Opw 664 Wij buigen neer/Rijken en armen</v>
      </c>
    </row>
    <row r="666" spans="1:1" ht="13" x14ac:dyDescent="0.15">
      <c r="A666" s="4" t="str">
        <f ca="1">IFERROR(__xludf.DUMMYFUNCTION("""COMPUTED_VALUE"""),"Opw 665 Tot aan die dag/Ooit komt er een dag")</f>
        <v>Opw 665 Tot aan die dag/Ooit komt er een dag</v>
      </c>
    </row>
    <row r="667" spans="1:1" ht="13" x14ac:dyDescent="0.15">
      <c r="A667" s="4" t="str">
        <f ca="1">IFERROR(__xludf.DUMMYFUNCTION("""COMPUTED_VALUE"""),"Opw 667 Spreek tot de volken/Hoor het geluid")</f>
        <v>Opw 667 Spreek tot de volken/Hoor het geluid</v>
      </c>
    </row>
    <row r="668" spans="1:1" ht="13" x14ac:dyDescent="0.15">
      <c r="A668" s="4" t="str">
        <f ca="1">IFERROR(__xludf.DUMMYFUNCTION("""COMPUTED_VALUE"""),"Opw 668 Heer, U bent goed")</f>
        <v>Opw 668 Heer, U bent goed</v>
      </c>
    </row>
    <row r="669" spans="1:1" ht="13" x14ac:dyDescent="0.15">
      <c r="A669" s="4" t="str">
        <f ca="1">IFERROR(__xludf.DUMMYFUNCTION("""COMPUTED_VALUE"""),"Opw 669 Adonai/Heer van de eeuwigheid")</f>
        <v>Opw 669 Adonai/Heer van de eeuwigheid</v>
      </c>
    </row>
    <row r="670" spans="1:1" ht="13" x14ac:dyDescent="0.15">
      <c r="A670" s="4" t="str">
        <f ca="1">IFERROR(__xludf.DUMMYFUNCTION("""COMPUTED_VALUE"""),"Opw 670 Op Hem rust mijn geloof")</f>
        <v>Opw 670 Op Hem rust mijn geloof</v>
      </c>
    </row>
    <row r="671" spans="1:1" ht="13" x14ac:dyDescent="0.15">
      <c r="A671" s="4" t="str">
        <f ca="1">IFERROR(__xludf.DUMMYFUNCTION("""COMPUTED_VALUE"""),"Opw 671 Lof, aanbidding/U schiep zon en maan en sterrenpracht")</f>
        <v>Opw 671 Lof, aanbidding/U schiep zon en maan en sterrenpracht</v>
      </c>
    </row>
    <row r="672" spans="1:1" ht="13" x14ac:dyDescent="0.15">
      <c r="A672" s="4" t="str">
        <f ca="1">IFERROR(__xludf.DUMMYFUNCTION("""COMPUTED_VALUE"""),"Opw 672 Heerser over alle dingen")</f>
        <v>Opw 672 Heerser over alle dingen</v>
      </c>
    </row>
    <row r="673" spans="1:1" ht="13" x14ac:dyDescent="0.15">
      <c r="A673" s="4" t="str">
        <f ca="1">IFERROR(__xludf.DUMMYFUNCTION("""COMPUTED_VALUE"""),"Opw 673 Heer van de hemelse machten")</f>
        <v>Opw 673 Heer van de hemelse machten</v>
      </c>
    </row>
    <row r="674" spans="1:1" ht="13" x14ac:dyDescent="0.15">
      <c r="A674" s="4" t="str">
        <f ca="1">IFERROR(__xludf.DUMMYFUNCTION("""COMPUTED_VALUE"""),"Opw 674 Zie de stroom van Jezus' liefde")</f>
        <v>Opw 674 Zie de stroom van Jezus' liefde</v>
      </c>
    </row>
    <row r="675" spans="1:1" ht="13" x14ac:dyDescent="0.15">
      <c r="A675" s="4" t="str">
        <f ca="1">IFERROR(__xludf.DUMMYFUNCTION("""COMPUTED_VALUE"""),"Opw 675 Al wat leeft/Vader, ik kom in uw heiligdom binnen")</f>
        <v>Opw 675 Al wat leeft/Vader, ik kom in uw heiligdom binnen</v>
      </c>
    </row>
    <row r="676" spans="1:1" ht="13" x14ac:dyDescent="0.15">
      <c r="A676" s="4" t="str">
        <f ca="1">IFERROR(__xludf.DUMMYFUNCTION("""COMPUTED_VALUE"""),"Opw 676 Welkom in ons midden, Jezus")</f>
        <v>Opw 676 Welkom in ons midden, Jezus</v>
      </c>
    </row>
    <row r="677" spans="1:1" ht="13" x14ac:dyDescent="0.15">
      <c r="A677" s="4" t="str">
        <f ca="1">IFERROR(__xludf.DUMMYFUNCTION("""COMPUTED_VALUE"""),"Opw 677 In het diepst van de nacht")</f>
        <v>Opw 677 In het diepst van de nacht</v>
      </c>
    </row>
    <row r="678" spans="1:1" ht="13" x14ac:dyDescent="0.15">
      <c r="A678" s="4" t="str">
        <f ca="1">IFERROR(__xludf.DUMMYFUNCTION("""COMPUTED_VALUE"""),"Opw 678 God van het licht")</f>
        <v>Opw 678 God van het licht</v>
      </c>
    </row>
    <row r="679" spans="1:1" ht="13" x14ac:dyDescent="0.15">
      <c r="A679" s="4" t="str">
        <f ca="1">IFERROR(__xludf.DUMMYFUNCTION("""COMPUTED_VALUE"""),"Opw 679 Hij is hier, Hij is bij ons")</f>
        <v>Opw 679 Hij is hier, Hij is bij ons</v>
      </c>
    </row>
    <row r="680" spans="1:1" ht="13" x14ac:dyDescent="0.15">
      <c r="A680" s="4" t="str">
        <f ca="1">IFERROR(__xludf.DUMMYFUNCTION("""COMPUTED_VALUE"""),"Opw 680 Mijn Redder/Iedereen zoekt naar liefde")</f>
        <v>Opw 680 Mijn Redder/Iedereen zoekt naar liefde</v>
      </c>
    </row>
    <row r="681" spans="1:1" ht="13" x14ac:dyDescent="0.15">
      <c r="A681" s="4" t="str">
        <f ca="1">IFERROR(__xludf.DUMMYFUNCTION("""COMPUTED_VALUE"""),"Opw 681 Hosanna, Hosanna/Ik zie de grote Koning")</f>
        <v>Opw 681 Hosanna, Hosanna/Ik zie de grote Koning</v>
      </c>
    </row>
    <row r="682" spans="1:1" ht="13" x14ac:dyDescent="0.15">
      <c r="A682" s="4" t="str">
        <f ca="1">IFERROR(__xludf.DUMMYFUNCTION("""COMPUTED_VALUE"""),"Opw 682 U, de Leeuw van Juda")</f>
        <v>Opw 682 U, de Leeuw van Juda</v>
      </c>
    </row>
    <row r="683" spans="1:1" ht="13" x14ac:dyDescent="0.15">
      <c r="A683" s="4" t="str">
        <f ca="1">IFERROR(__xludf.DUMMYFUNCTION("""COMPUTED_VALUE"""),"Opw 683 Stap voor stap / Voor eeuwig zingen wij/Heer, U bent mijn God")</f>
        <v>Opw 683 Stap voor stap / Voor eeuwig zingen wij/Heer, U bent mijn God</v>
      </c>
    </row>
    <row r="684" spans="1:1" ht="13" x14ac:dyDescent="0.15">
      <c r="A684" s="4" t="str">
        <f ca="1">IFERROR(__xludf.DUMMYFUNCTION("""COMPUTED_VALUE"""),"Opw 684 Adembenemend/Uw majesteit is onaantastbaar")</f>
        <v>Opw 684 Adembenemend/Uw majesteit is onaantastbaar</v>
      </c>
    </row>
    <row r="685" spans="1:1" ht="13" x14ac:dyDescent="0.15">
      <c r="A685" s="4" t="str">
        <f ca="1">IFERROR(__xludf.DUMMYFUNCTION("""COMPUTED_VALUE"""),"Opw 685 Hosanna/Met ons lied, Heer")</f>
        <v>Opw 685 Hosanna/Met ons lied, Heer</v>
      </c>
    </row>
    <row r="686" spans="1:1" ht="13" x14ac:dyDescent="0.15">
      <c r="A686" s="4" t="str">
        <f ca="1">IFERROR(__xludf.DUMMYFUNCTION("""COMPUTED_VALUE"""),"Opw 686 God is hier/Uw nabijheid vernieuwt en geneest")</f>
        <v>Opw 686 God is hier/Uw nabijheid vernieuwt en geneest</v>
      </c>
    </row>
    <row r="687" spans="1:1" ht="13" x14ac:dyDescent="0.15">
      <c r="A687" s="4" t="str">
        <f ca="1">IFERROR(__xludf.DUMMYFUNCTION("""COMPUTED_VALUE"""),"Opw 687 Heer, wijs mij uw weg")</f>
        <v>Opw 687 Heer, wijs mij uw weg</v>
      </c>
    </row>
    <row r="688" spans="1:1" ht="13" x14ac:dyDescent="0.15">
      <c r="A688" s="4" t="str">
        <f ca="1">IFERROR(__xludf.DUMMYFUNCTION("""COMPUTED_VALUE"""),"Opw 688 Genade zo groot")</f>
        <v>Opw 688 Genade zo groot</v>
      </c>
    </row>
    <row r="689" spans="1:1" ht="13" x14ac:dyDescent="0.15">
      <c r="A689" s="4" t="str">
        <f ca="1">IFERROR(__xludf.DUMMYFUNCTION("""COMPUTED_VALUE"""),"Opw 689 Spreek, o Heer")</f>
        <v>Opw 689 Spreek, o Heer</v>
      </c>
    </row>
    <row r="690" spans="1:1" ht="13" x14ac:dyDescent="0.15">
      <c r="A690" s="4" t="str">
        <f ca="1">IFERROR(__xludf.DUMMYFUNCTION("""COMPUTED_VALUE"""),"Opw 690 Hij leeft voor eeuwig, amen/Zing het overal")</f>
        <v>Opw 690 Hij leeft voor eeuwig, amen/Zing het overal</v>
      </c>
    </row>
    <row r="691" spans="1:1" ht="13" x14ac:dyDescent="0.15">
      <c r="A691" s="4" t="str">
        <f ca="1">IFERROR(__xludf.DUMMYFUNCTION("""COMPUTED_VALUE"""),"Opw 691 Heb de Heer, je God, lief")</f>
        <v>Opw 691 Heb de Heer, je God, lief</v>
      </c>
    </row>
    <row r="692" spans="1:1" ht="13" x14ac:dyDescent="0.15">
      <c r="A692" s="4" t="str">
        <f ca="1">IFERROR(__xludf.DUMMYFUNCTION("""COMPUTED_VALUE"""),"Opw 692 U bent mijn schild//Mijn Heer zal ik altijd prijzen")</f>
        <v>Opw 692 U bent mijn schild//Mijn Heer zal ik altijd prijzen</v>
      </c>
    </row>
    <row r="693" spans="1:1" ht="13" x14ac:dyDescent="0.15">
      <c r="A693" s="4" t="str">
        <f ca="1">IFERROR(__xludf.DUMMYFUNCTION("""COMPUTED_VALUE"""),"Opw 693 Vaste grond/God, voor U is niets onmogelijk")</f>
        <v>Opw 693 Vaste grond/God, voor U is niets onmogelijk</v>
      </c>
    </row>
    <row r="694" spans="1:1" ht="13" x14ac:dyDescent="0.15">
      <c r="A694" s="4" t="str">
        <f ca="1">IFERROR(__xludf.DUMMYFUNCTION("""COMPUTED_VALUE"""),"Opw 694 Ik bouw op Jezus, anders niet")</f>
        <v>Opw 694 Ik bouw op Jezus, anders niet</v>
      </c>
    </row>
    <row r="695" spans="1:1" ht="13" x14ac:dyDescent="0.15">
      <c r="A695" s="4" t="str">
        <f ca="1">IFERROR(__xludf.DUMMYFUNCTION("""COMPUTED_VALUE"""),"Opw 695 Stil/Verberg mij nu")</f>
        <v>Opw 695 Stil/Verberg mij nu</v>
      </c>
    </row>
    <row r="696" spans="1:1" ht="13" x14ac:dyDescent="0.15">
      <c r="A696" s="4" t="str">
        <f ca="1">IFERROR(__xludf.DUMMYFUNCTION("""COMPUTED_VALUE"""),"Opw 696 Onvoorstelbaar, ontzagwekkend")</f>
        <v>Opw 696 Onvoorstelbaar, ontzagwekkend</v>
      </c>
    </row>
    <row r="697" spans="1:1" ht="13" x14ac:dyDescent="0.15">
      <c r="A697" s="4" t="str">
        <f ca="1">IFERROR(__xludf.DUMMYFUNCTION("""COMPUTED_VALUE"""),"Opw 697 Al wat ik ben / Jezus, ik geloof in U")</f>
        <v>Opw 697 Al wat ik ben / Jezus, ik geloof in U</v>
      </c>
    </row>
    <row r="698" spans="1:1" ht="13" x14ac:dyDescent="0.15">
      <c r="A698" s="4" t="str">
        <f ca="1">IFERROR(__xludf.DUMMYFUNCTION("""COMPUTED_VALUE"""),"Opw 698 Nooit meer alleen/Ook al gaat mijn weg")</f>
        <v>Opw 698 Nooit meer alleen/Ook al gaat mijn weg</v>
      </c>
    </row>
    <row r="699" spans="1:1" ht="13" x14ac:dyDescent="0.15">
      <c r="A699" s="4" t="str">
        <f ca="1">IFERROR(__xludf.DUMMYFUNCTION("""COMPUTED_VALUE"""),"Opw 699 Ik weet: Hij leeft/Wij hebben hoop die zeker is")</f>
        <v>Opw 699 Ik weet: Hij leeft/Wij hebben hoop die zeker is</v>
      </c>
    </row>
    <row r="700" spans="1:1" ht="13" x14ac:dyDescent="0.15">
      <c r="A700" s="4" t="str">
        <f ca="1">IFERROR(__xludf.DUMMYFUNCTION("""COMPUTED_VALUE"""),"Opw 700 Een nieuwe dag/Kom zing een nieuw lied")</f>
        <v>Opw 700 Een nieuwe dag/Kom zing een nieuw lied</v>
      </c>
    </row>
    <row r="701" spans="1:1" ht="13" x14ac:dyDescent="0.15">
      <c r="A701" s="4" t="str">
        <f ca="1">IFERROR(__xludf.DUMMYFUNCTION("""COMPUTED_VALUE"""),"Opw 701 Hoor de roep van de Koning")</f>
        <v>Opw 701 Hoor de roep van de Koning</v>
      </c>
    </row>
    <row r="702" spans="1:1" ht="13" x14ac:dyDescent="0.15">
      <c r="A702" s="4" t="str">
        <f ca="1">IFERROR(__xludf.DUMMYFUNCTION("""COMPUTED_VALUE"""),"Opw 702 De God die eeuwig leeft/Er is kracht voor wie hopen op de Heer")</f>
        <v>Opw 702 De God die eeuwig leeft/Er is kracht voor wie hopen op de Heer</v>
      </c>
    </row>
    <row r="703" spans="1:1" ht="13" x14ac:dyDescent="0.15">
      <c r="A703" s="4" t="str">
        <f ca="1">IFERROR(__xludf.DUMMYFUNCTION("""COMPUTED_VALUE"""),"Opw 703 Zoals een hinde smacht")</f>
        <v>Opw 703 Zoals een hinde smacht</v>
      </c>
    </row>
    <row r="704" spans="1:1" ht="13" x14ac:dyDescent="0.15">
      <c r="A704" s="4" t="str">
        <f ca="1">IFERROR(__xludf.DUMMYFUNCTION("""COMPUTED_VALUE"""),"Opw 704 O kerk, sta op")</f>
        <v>Opw 704 O kerk, sta op</v>
      </c>
    </row>
    <row r="705" spans="1:1" ht="13" x14ac:dyDescent="0.15">
      <c r="A705" s="4" t="str">
        <f ca="1">IFERROR(__xludf.DUMMYFUNCTION("""COMPUTED_VALUE"""),"Opw 705 Toon mijn liefde/Aan de maaltijd wordt het stil")</f>
        <v>Opw 705 Toon mijn liefde/Aan de maaltijd wordt het stil</v>
      </c>
    </row>
    <row r="706" spans="1:1" ht="13" x14ac:dyDescent="0.15">
      <c r="A706" s="4" t="str">
        <f ca="1">IFERROR(__xludf.DUMMYFUNCTION("""COMPUTED_VALUE"""),"Opw 706 Zie hoe Jezus lijdt voor mij")</f>
        <v>Opw 706 Zie hoe Jezus lijdt voor mij</v>
      </c>
    </row>
    <row r="707" spans="1:1" ht="13" x14ac:dyDescent="0.15">
      <c r="A707" s="4" t="str">
        <f ca="1">IFERROR(__xludf.DUMMYFUNCTION("""COMPUTED_VALUE"""),"Opw 707 Met diep ontzag/U bent mooier dan ik kan omschrijven")</f>
        <v>Opw 707 Met diep ontzag/U bent mooier dan ik kan omschrijven</v>
      </c>
    </row>
    <row r="708" spans="1:1" ht="13" x14ac:dyDescent="0.15">
      <c r="A708" s="4" t="str">
        <f ca="1">IFERROR(__xludf.DUMMYFUNCTION("""COMPUTED_VALUE"""),"Opw 708 Hoe groot is uw trouw, o Heer/Kom, zing voor de Heer")</f>
        <v>Opw 708 Hoe groot is uw trouw, o Heer/Kom, zing voor de Heer</v>
      </c>
    </row>
    <row r="709" spans="1:1" ht="13" x14ac:dyDescent="0.15">
      <c r="A709" s="4" t="str">
        <f ca="1">IFERROR(__xludf.DUMMYFUNCTION("""COMPUTED_VALUE"""),"Opw 709 De hemel vertelt van Gods heerlijkheid")</f>
        <v>Opw 709 De hemel vertelt van Gods heerlijkheid</v>
      </c>
    </row>
    <row r="710" spans="1:1" ht="13" x14ac:dyDescent="0.15">
      <c r="A710" s="4" t="str">
        <f ca="1">IFERROR(__xludf.DUMMYFUNCTION("""COMPUTED_VALUE"""),"Opw 710 Gebed om zegen/Zegen mij op de weg die ik moet gaan")</f>
        <v>Opw 710 Gebed om zegen/Zegen mij op de weg die ik moet gaan</v>
      </c>
    </row>
    <row r="711" spans="1:1" ht="13" x14ac:dyDescent="0.15">
      <c r="A711" s="4" t="str">
        <f ca="1">IFERROR(__xludf.DUMMYFUNCTION("""COMPUTED_VALUE"""),"Opw 711 Zijn trouw kleurt de morgen/Zijn trouw houdt mensen op de been")</f>
        <v>Opw 711 Zijn trouw kleurt de morgen/Zijn trouw houdt mensen op de been</v>
      </c>
    </row>
    <row r="712" spans="1:1" ht="13" x14ac:dyDescent="0.15">
      <c r="A712" s="4" t="str">
        <f ca="1">IFERROR(__xludf.DUMMYFUNCTION("""COMPUTED_VALUE"""),"Opw 712 Zing voor de Heer")</f>
        <v>Opw 712 Zing voor de Heer</v>
      </c>
    </row>
    <row r="713" spans="1:1" ht="13" x14ac:dyDescent="0.15">
      <c r="A713" s="4" t="str">
        <f ca="1">IFERROR(__xludf.DUMMYFUNCTION("""COMPUTED_VALUE"""),"Opw 713 Als U het huis niet bouwt/Alles wat ik ben behoort U toe")</f>
        <v>Opw 713 Als U het huis niet bouwt/Alles wat ik ben behoort U toe</v>
      </c>
    </row>
    <row r="714" spans="1:1" ht="13" x14ac:dyDescent="0.15">
      <c r="A714" s="4" t="str">
        <f ca="1">IFERROR(__xludf.DUMMYFUNCTION("""COMPUTED_VALUE"""),"Opw 714 Uw liefde laat nooit los/Al laat de zon zich niet meer zien")</f>
        <v>Opw 714 Uw liefde laat nooit los/Al laat de zon zich niet meer zien</v>
      </c>
    </row>
    <row r="715" spans="1:1" ht="13" x14ac:dyDescent="0.15">
      <c r="A715" s="4" t="str">
        <f ca="1">IFERROR(__xludf.DUMMYFUNCTION("""COMPUTED_VALUE"""),"Opw 715 Wat hou ik van uw huis")</f>
        <v>Opw 715 Wat hou ik van uw huis</v>
      </c>
    </row>
    <row r="716" spans="1:1" ht="13" x14ac:dyDescent="0.15">
      <c r="A716" s="4" t="str">
        <f ca="1">IFERROR(__xludf.DUMMYFUNCTION("""COMPUTED_VALUE"""),"Opw 716 Wanneer?/Heer, wij kwamen voor U juichen")</f>
        <v>Opw 716 Wanneer?/Heer, wij kwamen voor U juichen</v>
      </c>
    </row>
    <row r="717" spans="1:1" ht="13" x14ac:dyDescent="0.15">
      <c r="A717" s="4" t="str">
        <f ca="1">IFERROR(__xludf.DUMMYFUNCTION("""COMPUTED_VALUE"""),"Opw 717 Stil, mijn ziel, wees stil")</f>
        <v>Opw 717 Stil, mijn ziel, wees stil</v>
      </c>
    </row>
    <row r="718" spans="1:1" ht="13" x14ac:dyDescent="0.15">
      <c r="A718" s="4" t="str">
        <f ca="1">IFERROR(__xludf.DUMMYFUNCTION("""COMPUTED_VALUE"""),"Opw 718 Heilig, heilig, heilig bent U, Heer")</f>
        <v>Opw 718 Heilig, heilig, heilig bent U, Heer</v>
      </c>
    </row>
    <row r="719" spans="1:1" ht="13" x14ac:dyDescent="0.15">
      <c r="A719" s="4" t="str">
        <f ca="1">IFERROR(__xludf.DUMMYFUNCTION("""COMPUTED_VALUE"""),"Opw 719 Onbeschrijfelijk/Van de machtigste berg tot het diepst van de zee")</f>
        <v>Opw 719 Onbeschrijfelijk/Van de machtigste berg tot het diepst van de zee</v>
      </c>
    </row>
    <row r="720" spans="1:1" ht="13" x14ac:dyDescent="0.15">
      <c r="A720" s="4" t="str">
        <f ca="1">IFERROR(__xludf.DUMMYFUNCTION("""COMPUTED_VALUE"""),"Opw 720 God maakt vrij/In de naam van de Vader")</f>
        <v>Opw 720 God maakt vrij/In de naam van de Vader</v>
      </c>
    </row>
    <row r="721" spans="1:1" ht="13" x14ac:dyDescent="0.15">
      <c r="A721" s="4" t="str">
        <f ca="1">IFERROR(__xludf.DUMMYFUNCTION("""COMPUTED_VALUE"""),"Opw 721 Heerser over al wat leeft")</f>
        <v>Opw 721 Heerser over al wat leeft</v>
      </c>
    </row>
    <row r="722" spans="1:1" ht="13" x14ac:dyDescent="0.15">
      <c r="A722" s="4" t="str">
        <f ca="1">IFERROR(__xludf.DUMMYFUNCTION("""COMPUTED_VALUE"""),"Opw 722 Dat is genade!/Heer, ik dank U voor wat U heeft gedaan")</f>
        <v>Opw 722 Dat is genade!/Heer, ik dank U voor wat U heeft gedaan</v>
      </c>
    </row>
    <row r="723" spans="1:1" ht="13" x14ac:dyDescent="0.15">
      <c r="A723" s="4" t="str">
        <f ca="1">IFERROR(__xludf.DUMMYFUNCTION("""COMPUTED_VALUE"""),"Opw 723 Kom, volk van de verrezen Heer")</f>
        <v>Opw 723 Kom, volk van de verrezen Heer</v>
      </c>
    </row>
    <row r="724" spans="1:1" ht="13" x14ac:dyDescent="0.15">
      <c r="A724" s="4" t="str">
        <f ca="1">IFERROR(__xludf.DUMMYFUNCTION("""COMPUTED_VALUE"""),"Opw 724 Vandaag is de dag/Wat door mijn gedachten gaat")</f>
        <v>Opw 724 Vandaag is de dag/Wat door mijn gedachten gaat</v>
      </c>
    </row>
    <row r="725" spans="1:1" ht="13" x14ac:dyDescent="0.15">
      <c r="A725" s="4" t="str">
        <f ca="1">IFERROR(__xludf.DUMMYFUNCTION("""COMPUTED_VALUE"""),"Opw 725 Geweldige God/Staar ik in de nacht")</f>
        <v>Opw 725 Geweldige God/Staar ik in de nacht</v>
      </c>
    </row>
    <row r="726" spans="1:1" ht="13" x14ac:dyDescent="0.15">
      <c r="A726" s="4" t="str">
        <f ca="1">IFERROR(__xludf.DUMMYFUNCTION("""COMPUTED_VALUE"""),"Opw 726 Anker in de tijd/Er is een onbegrensde liefde")</f>
        <v>Opw 726 Anker in de tijd/Er is een onbegrensde liefde</v>
      </c>
    </row>
    <row r="727" spans="1:1" ht="13" x14ac:dyDescent="0.15">
      <c r="A727" s="4" t="str">
        <f ca="1">IFERROR(__xludf.DUMMYFUNCTION("""COMPUTED_VALUE"""),"Opw 727 Ik val niet uit zijn hand/Mijn God, ik kom naar U, dan ben ik veilig")</f>
        <v>Opw 727 Ik val niet uit zijn hand/Mijn God, ik kom naar U, dan ben ik veilig</v>
      </c>
    </row>
    <row r="728" spans="1:1" ht="13" x14ac:dyDescent="0.15">
      <c r="A728" s="4" t="str">
        <f ca="1">IFERROR(__xludf.DUMMYFUNCTION("""COMPUTED_VALUE"""),"Opw 728 Herstel, o Heer")</f>
        <v>Opw 728 Herstel, o Heer</v>
      </c>
    </row>
    <row r="729" spans="1:1" ht="13" x14ac:dyDescent="0.15">
      <c r="A729" s="4" t="str">
        <f ca="1">IFERROR(__xludf.DUMMYFUNCTION("""COMPUTED_VALUE"""),"Opw 729 Hij is erbij/Soms brengt God de storm tot stilte")</f>
        <v>Opw 729 Hij is erbij/Soms brengt God de storm tot stilte</v>
      </c>
    </row>
    <row r="730" spans="1:1" ht="13" x14ac:dyDescent="0.15">
      <c r="A730" s="4" t="str">
        <f ca="1">IFERROR(__xludf.DUMMYFUNCTION("""COMPUTED_VALUE"""),"Opw 730 Ik herleef/Deze vrede leeft in mij")</f>
        <v>Opw 730 Ik herleef/Deze vrede leeft in mij</v>
      </c>
    </row>
    <row r="731" spans="1:1" ht="13" x14ac:dyDescent="0.15">
      <c r="A731" s="4" t="str">
        <f ca="1">IFERROR(__xludf.DUMMYFUNCTION("""COMPUTED_VALUE"""),"Opw 731 Halleluja Adonai/Jezus, ik hou van U")</f>
        <v>Opw 731 Halleluja Adonai/Jezus, ik hou van U</v>
      </c>
    </row>
    <row r="732" spans="1:1" ht="13" x14ac:dyDescent="0.15">
      <c r="A732" s="4" t="str">
        <f ca="1">IFERROR(__xludf.DUMMYFUNCTION("""COMPUTED_VALUE"""),"Opw 732 Wat een wonder dat ik meewerken mag")</f>
        <v>Opw 732 Wat een wonder dat ik meewerken mag</v>
      </c>
    </row>
    <row r="733" spans="1:1" ht="13" x14ac:dyDescent="0.15">
      <c r="A733" s="4" t="str">
        <f ca="1">IFERROR(__xludf.DUMMYFUNCTION("""COMPUTED_VALUE"""),"Opw 733 Tienduizend redenen/De zon komt op, maakt de morgen wakker")</f>
        <v>Opw 733 Tienduizend redenen/De zon komt op, maakt de morgen wakker</v>
      </c>
    </row>
    <row r="734" spans="1:1" ht="13" x14ac:dyDescent="0.15">
      <c r="A734" s="4" t="str">
        <f ca="1">IFERROR(__xludf.DUMMYFUNCTION("""COMPUTED_VALUE"""),"Opw 734 God, ik adem om van U te zingen")</f>
        <v>Opw 734 God, ik adem om van U te zingen</v>
      </c>
    </row>
    <row r="735" spans="1:1" ht="13" x14ac:dyDescent="0.15">
      <c r="A735" s="4" t="str">
        <f ca="1">IFERROR(__xludf.DUMMYFUNCTION("""COMPUTED_VALUE"""),"Opw 735 Wie vertrouwen op de Heer")</f>
        <v>Opw 735 Wie vertrouwen op de Heer</v>
      </c>
    </row>
    <row r="736" spans="1:1" ht="13" x14ac:dyDescent="0.15">
      <c r="A736" s="4" t="str">
        <f ca="1">IFERROR(__xludf.DUMMYFUNCTION("""COMPUTED_VALUE"""),"Opw 736 In deze gemeente, Gods huisgezin")</f>
        <v>Opw 736 In deze gemeente, Gods huisgezin</v>
      </c>
    </row>
    <row r="737" spans="1:1" ht="13" x14ac:dyDescent="0.15">
      <c r="A737" s="4" t="str">
        <f ca="1">IFERROR(__xludf.DUMMYFUNCTION("""COMPUTED_VALUE"""),"Opw 737 U nodigt mij aan tafel")</f>
        <v>Opw 737 U nodigt mij aan tafel</v>
      </c>
    </row>
    <row r="738" spans="1:1" ht="13" x14ac:dyDescent="0.15">
      <c r="A738" s="4" t="str">
        <f ca="1">IFERROR(__xludf.DUMMYFUNCTION("""COMPUTED_VALUE"""),"Opw 738 Als ik huil/ Ik kom bij U")</f>
        <v>Opw 738 Als ik huil/ Ik kom bij U</v>
      </c>
    </row>
    <row r="739" spans="1:1" ht="13" x14ac:dyDescent="0.15">
      <c r="A739" s="4" t="str">
        <f ca="1">IFERROR(__xludf.DUMMYFUNCTION("""COMPUTED_VALUE"""),"Opw 739 Sta op -een gebed om ontferming/ U Heer, U hoort")</f>
        <v>Opw 739 Sta op -een gebed om ontferming/ U Heer, U hoort</v>
      </c>
    </row>
    <row r="740" spans="1:1" ht="13" x14ac:dyDescent="0.15">
      <c r="A740" s="4" t="str">
        <f ca="1">IFERROR(__xludf.DUMMYFUNCTION("""COMPUTED_VALUE"""),"Opw 740 Ik bid dat God jou zegent")</f>
        <v>Opw 740 Ik bid dat God jou zegent</v>
      </c>
    </row>
    <row r="741" spans="1:1" ht="13" x14ac:dyDescent="0.15">
      <c r="A741" s="4" t="str">
        <f ca="1">IFERROR(__xludf.DUMMYFUNCTION("""COMPUTED_VALUE"""),"Opw 741 Als een vuur van binnen")</f>
        <v>Opw 741 Als een vuur van binnen</v>
      </c>
    </row>
    <row r="742" spans="1:1" ht="13" x14ac:dyDescent="0.15">
      <c r="A742" s="4" t="str">
        <f ca="1">IFERROR(__xludf.DUMMYFUNCTION("""COMPUTED_VALUE"""),"Opw 742 Dit is het Lam, dat onze zonden draagt")</f>
        <v>Opw 742 Dit is het Lam, dat onze zonden draagt</v>
      </c>
    </row>
    <row r="743" spans="1:1" ht="13" x14ac:dyDescent="0.15">
      <c r="A743" s="4" t="str">
        <f ca="1">IFERROR(__xludf.DUMMYFUNCTION("""COMPUTED_VALUE"""),"Opw 743 Jezus, ik kom naar U")</f>
        <v>Opw 743 Jezus, ik kom naar U</v>
      </c>
    </row>
    <row r="744" spans="1:1" ht="13" x14ac:dyDescent="0.15">
      <c r="A744" s="4" t="str">
        <f ca="1">IFERROR(__xludf.DUMMYFUNCTION("""COMPUTED_VALUE"""),"Opw 744 Vrede voor Jeruzalem /Jeruzalem, de stad van trouw")</f>
        <v>Opw 744 Vrede voor Jeruzalem /Jeruzalem, de stad van trouw</v>
      </c>
    </row>
    <row r="745" spans="1:1" ht="13" x14ac:dyDescent="0.15">
      <c r="A745" s="4" t="str">
        <f ca="1">IFERROR(__xludf.DUMMYFUNCTION("""COMPUTED_VALUE"""),"Opw 745 Hoe lang/ Hoort U boven onze stemmen uit")</f>
        <v>Opw 745 Hoe lang/ Hoort U boven onze stemmen uit</v>
      </c>
    </row>
    <row r="746" spans="1:1" ht="13" x14ac:dyDescent="0.15">
      <c r="A746" s="4" t="str">
        <f ca="1">IFERROR(__xludf.DUMMYFUNCTION("""COMPUTED_VALUE"""),"Opw 746 De God van de vrede")</f>
        <v>Opw 746 De God van de vrede</v>
      </c>
    </row>
    <row r="747" spans="1:1" ht="13" x14ac:dyDescent="0.15">
      <c r="A747" s="4" t="str">
        <f ca="1">IFERROR(__xludf.DUMMYFUNCTION("""COMPUTED_VALUE"""),"Opw 747 Wij geloven in een keerpunt in de tijd")</f>
        <v>Opw 747 Wij geloven in een keerpunt in de tijd</v>
      </c>
    </row>
    <row r="748" spans="1:1" ht="13" x14ac:dyDescent="0.15">
      <c r="A748" s="4" t="str">
        <f ca="1">IFERROR(__xludf.DUMMYFUNCTION("""COMPUTED_VALUE"""),"Opw 748 God zegent ons/Heer, zegen ons met onverdiende liefde")</f>
        <v>Opw 748 God zegent ons/Heer, zegen ons met onverdiende liefde</v>
      </c>
    </row>
    <row r="749" spans="1:1" ht="13" x14ac:dyDescent="0.15">
      <c r="A749" s="4" t="str">
        <f ca="1">IFERROR(__xludf.DUMMYFUNCTION("""COMPUTED_VALUE"""),"Opw 749 Hoe kan ik anders/Hoor, hoe een eeuwig lied")</f>
        <v>Opw 749 Hoe kan ik anders/Hoor, hoe een eeuwig lied</v>
      </c>
    </row>
    <row r="750" spans="1:1" ht="13" x14ac:dyDescent="0.15">
      <c r="A750" s="4" t="str">
        <f ca="1">IFERROR(__xludf.DUMMYFUNCTION("""COMPUTED_VALUE"""),"Opw 750 Eer en glorie/Elohim, de Schepper God")</f>
        <v>Opw 750 Eer en glorie/Elohim, de Schepper God</v>
      </c>
    </row>
    <row r="751" spans="1:1" ht="13" x14ac:dyDescent="0.15">
      <c r="A751" s="4" t="str">
        <f ca="1">IFERROR(__xludf.DUMMYFUNCTION("""COMPUTED_VALUE"""),"Opw 751 Ik zie het kruis")</f>
        <v>Opw 751 Ik zie het kruis</v>
      </c>
    </row>
    <row r="752" spans="1:1" ht="13" x14ac:dyDescent="0.15">
      <c r="A752" s="4" t="str">
        <f ca="1">IFERROR(__xludf.DUMMYFUNCTION("""COMPUTED_VALUE"""),"Opw 752 Geef God alle eer")</f>
        <v>Opw 752 Geef God alle eer</v>
      </c>
    </row>
    <row r="753" spans="1:1" ht="13" x14ac:dyDescent="0.15">
      <c r="A753" s="4" t="str">
        <f ca="1">IFERROR(__xludf.DUMMYFUNCTION("""COMPUTED_VALUE"""),"Opw 753 Symfonie/Nu ik bij U kom in uw heiligdom")</f>
        <v>Opw 753 Symfonie/Nu ik bij U kom in uw heiligdom</v>
      </c>
    </row>
    <row r="754" spans="1:1" ht="13" x14ac:dyDescent="0.15">
      <c r="A754" s="4" t="str">
        <f ca="1">IFERROR(__xludf.DUMMYFUNCTION("""COMPUTED_VALUE"""),"Opw 754 Kom o Heilige Geest/Heilige Geest van God, adem in ons midden")</f>
        <v>Opw 754 Kom o Heilige Geest/Heilige Geest van God, adem in ons midden</v>
      </c>
    </row>
    <row r="755" spans="1:1" ht="13" x14ac:dyDescent="0.15">
      <c r="A755" s="4" t="str">
        <f ca="1">IFERROR(__xludf.DUMMYFUNCTION("""COMPUTED_VALUE"""),"Opw 755 Laat ons Christus zien/Bewerk ons hart, o God")</f>
        <v>Opw 755 Laat ons Christus zien/Bewerk ons hart, o God</v>
      </c>
    </row>
    <row r="756" spans="1:1" ht="13" x14ac:dyDescent="0.15">
      <c r="A756" s="4" t="str">
        <f ca="1">IFERROR(__xludf.DUMMYFUNCTION("""COMPUTED_VALUE"""),"Opw 756 Schuilplaats/Ik wil zijn in de schuilplaats van de Allerhoogste")</f>
        <v>Opw 756 Schuilplaats/Ik wil zijn in de schuilplaats van de Allerhoogste</v>
      </c>
    </row>
    <row r="757" spans="1:1" ht="13" x14ac:dyDescent="0.15">
      <c r="A757" s="4" t="str">
        <f ca="1">IFERROR(__xludf.DUMMYFUNCTION("""COMPUTED_VALUE"""),"Opw 757 Zo goed/Uw liefde is geweldig!")</f>
        <v>Opw 757 Zo goed/Uw liefde is geweldig!</v>
      </c>
    </row>
    <row r="758" spans="1:1" ht="13" x14ac:dyDescent="0.15">
      <c r="A758" s="4" t="str">
        <f ca="1">IFERROR(__xludf.DUMMYFUNCTION("""COMPUTED_VALUE"""),"Opw 758 Met heel mijn ziel")</f>
        <v>Opw 758 Met heel mijn ziel</v>
      </c>
    </row>
    <row r="759" spans="1:1" ht="13" x14ac:dyDescent="0.15">
      <c r="A759" s="4" t="str">
        <f ca="1">IFERROR(__xludf.DUMMYFUNCTION("""COMPUTED_VALUE"""),"Opw 759 Uw genade is genoeg/Mijn God, wat is uw trouw toch groot")</f>
        <v>Opw 759 Uw genade is genoeg/Mijn God, wat is uw trouw toch groot</v>
      </c>
    </row>
    <row r="760" spans="1:1" ht="13" x14ac:dyDescent="0.15">
      <c r="A760" s="4" t="str">
        <f ca="1">IFERROR(__xludf.DUMMYFUNCTION("""COMPUTED_VALUE"""),"Opw 760 Wie vrees ik nog?/U hoort mij als ik bid")</f>
        <v>Opw 760 Wie vrees ik nog?/U hoort mij als ik bid</v>
      </c>
    </row>
    <row r="761" spans="1:1" ht="13" x14ac:dyDescent="0.15">
      <c r="A761" s="4" t="str">
        <f ca="1">IFERROR(__xludf.DUMMYFUNCTION("""COMPUTED_VALUE"""),"Opw 761 De Heer is ons huis/Zijn grootheid torent uit")</f>
        <v>Opw 761 De Heer is ons huis/Zijn grootheid torent uit</v>
      </c>
    </row>
    <row r="762" spans="1:1" ht="13" x14ac:dyDescent="0.15">
      <c r="A762" s="4" t="str">
        <f ca="1">IFERROR(__xludf.DUMMYFUNCTION("""COMPUTED_VALUE"""),"Opw 762 Heilig bent U, God/Zing voor zijn naam")</f>
        <v>Opw 762 Heilig bent U, God/Zing voor zijn naam</v>
      </c>
    </row>
    <row r="763" spans="1:1" ht="13" x14ac:dyDescent="0.15">
      <c r="A763" s="4" t="str">
        <f ca="1">IFERROR(__xludf.DUMMYFUNCTION("""COMPUTED_VALUE"""),"Opw 763 Ik heb U nodig/Heer, ik kom en beken")</f>
        <v>Opw 763 Ik heb U nodig/Heer, ik kom en beken</v>
      </c>
    </row>
    <row r="764" spans="1:1" ht="13" x14ac:dyDescent="0.15">
      <c r="A764" s="4" t="str">
        <f ca="1">IFERROR(__xludf.DUMMYFUNCTION("""COMPUTED_VALUE"""),"Opw 764 Zegekroon/U zult altijd voor ons strijden")</f>
        <v>Opw 764 Zegekroon/U zult altijd voor ons strijden</v>
      </c>
    </row>
    <row r="765" spans="1:1" ht="13" x14ac:dyDescent="0.15">
      <c r="A765" s="4" t="str">
        <f ca="1">IFERROR(__xludf.DUMMYFUNCTION("""COMPUTED_VALUE"""),"Opw 765 Uw vrede vult dit huis")</f>
        <v>Opw 765 Uw vrede vult dit huis</v>
      </c>
    </row>
    <row r="766" spans="1:1" ht="13" x14ac:dyDescent="0.15">
      <c r="A766" s="4" t="str">
        <f ca="1">IFERROR(__xludf.DUMMYFUNCTION("""COMPUTED_VALUE"""),"Opw 766 De wind steekt op/Als de hemel openbreekt")</f>
        <v>Opw 766 De wind steekt op/Als de hemel openbreekt</v>
      </c>
    </row>
    <row r="767" spans="1:1" ht="13" x14ac:dyDescent="0.15">
      <c r="A767" s="4" t="str">
        <f ca="1">IFERROR(__xludf.DUMMYFUNCTION("""COMPUTED_VALUE"""),"Opw 767 Familie/Hoe mooi en hoe heerlijk")</f>
        <v>Opw 767 Familie/Hoe mooi en hoe heerlijk</v>
      </c>
    </row>
    <row r="768" spans="1:1" ht="13" x14ac:dyDescent="0.15">
      <c r="A768" s="4" t="str">
        <f ca="1">IFERROR(__xludf.DUMMYFUNCTION("""COMPUTED_VALUE"""),"Opw 768 Zing een nieuw lied(PvN)/Zing, zing, zing een nieuw lied voor de Heer")</f>
        <v>Opw 768 Zing een nieuw lied(PvN)/Zing, zing, zing een nieuw lied voor de Heer</v>
      </c>
    </row>
    <row r="769" spans="1:1" ht="13" x14ac:dyDescent="0.15">
      <c r="A769" s="4" t="str">
        <f ca="1">IFERROR(__xludf.DUMMYFUNCTION("""COMPUTED_VALUE"""),"Opw 769 Bouw uw koninkrijk/Kom, vestig uw gezag")</f>
        <v>Opw 769 Bouw uw koninkrijk/Kom, vestig uw gezag</v>
      </c>
    </row>
    <row r="770" spans="1:1" ht="13" x14ac:dyDescent="0.15">
      <c r="A770" s="4" t="str">
        <f ca="1">IFERROR(__xludf.DUMMYFUNCTION("""COMPUTED_VALUE"""),"Opw 770 Ik zal er zijn/Hoe wonderlijk mooi is uw eeuwige naam")</f>
        <v>Opw 770 Ik zal er zijn/Hoe wonderlijk mooi is uw eeuwige naam</v>
      </c>
    </row>
    <row r="771" spans="1:1" ht="13" x14ac:dyDescent="0.15">
      <c r="A771" s="4" t="str">
        <f ca="1">IFERROR(__xludf.DUMMYFUNCTION("""COMPUTED_VALUE"""),"Opw 771 Eén doel/Wij zijn gekomen voor een ontmoeting met U")</f>
        <v>Opw 771 Eén doel/Wij zijn gekomen voor een ontmoeting met U</v>
      </c>
    </row>
    <row r="772" spans="1:1" ht="13" x14ac:dyDescent="0.15">
      <c r="A772" s="4" t="str">
        <f ca="1">IFERROR(__xludf.DUMMYFUNCTION("""COMPUTED_VALUE"""),"Opw 772 Overwinnaar/Ik wil zingen voor de Here")</f>
        <v>Opw 772 Overwinnaar/Ik wil zingen voor de Here</v>
      </c>
    </row>
    <row r="773" spans="1:1" ht="13" x14ac:dyDescent="0.15">
      <c r="A773" s="4" t="str">
        <f ca="1">IFERROR(__xludf.DUMMYFUNCTION("""COMPUTED_VALUE"""),"Opw 773 De enige die redt/Uit liefde gaf God zijn eigen Zoon")</f>
        <v>Opw 773 De enige die redt/Uit liefde gaf God zijn eigen Zoon</v>
      </c>
    </row>
    <row r="774" spans="1:1" ht="13" x14ac:dyDescent="0.15">
      <c r="A774" s="4" t="str">
        <f ca="1">IFERROR(__xludf.DUMMYFUNCTION("""COMPUTED_VALUE"""),"Opw 774 Ik verlang naar Jezus")</f>
        <v>Opw 774 Ik verlang naar Jezus</v>
      </c>
    </row>
    <row r="775" spans="1:1" ht="13" x14ac:dyDescent="0.15">
      <c r="A775" s="4" t="str">
        <f ca="1">IFERROR(__xludf.DUMMYFUNCTION("""COMPUTED_VALUE"""),"Opw 775 Bij het kruis/Er is een plek waar liefde heerst")</f>
        <v>Opw 775 Bij het kruis/Er is een plek waar liefde heerst</v>
      </c>
    </row>
    <row r="776" spans="1:1" ht="13" x14ac:dyDescent="0.15">
      <c r="A776" s="4" t="str">
        <f ca="1">IFERROR(__xludf.DUMMYFUNCTION("""COMPUTED_VALUE"""),"Opw 776 Wij, de verlosten van de Heer")</f>
        <v>Opw 776 Wij, de verlosten van de Heer</v>
      </c>
    </row>
    <row r="777" spans="1:1" ht="13" x14ac:dyDescent="0.15">
      <c r="A777" s="4" t="str">
        <f ca="1">IFERROR(__xludf.DUMMYFUNCTION("""COMPUTED_VALUE"""),"Opw 777 Ik geef U alle eer/U bent de Koning op de troon")</f>
        <v>Opw 777 Ik geef U alle eer/U bent de Koning op de troon</v>
      </c>
    </row>
    <row r="778" spans="1:1" ht="13" x14ac:dyDescent="0.15">
      <c r="A778" s="4" t="str">
        <f ca="1">IFERROR(__xludf.DUMMYFUNCTION("""COMPUTED_VALUE"""),"Opw 778 Hoe lang, o Heer?")</f>
        <v>Opw 778 Hoe lang, o Heer?</v>
      </c>
    </row>
    <row r="779" spans="1:1" ht="13" x14ac:dyDescent="0.15">
      <c r="A779" s="4" t="str">
        <f ca="1">IFERROR(__xludf.DUMMYFUNCTION("""COMPUTED_VALUE"""),"Opw 779 Zoals je bent/Kom hier met je tranen")</f>
        <v>Opw 779 Zoals je bent/Kom hier met je tranen</v>
      </c>
    </row>
    <row r="780" spans="1:1" ht="13" x14ac:dyDescent="0.15">
      <c r="A780" s="4" t="str">
        <f ca="1">IFERROR(__xludf.DUMMYFUNCTION("""COMPUTED_VALUE"""),"Opw 780 Verwachten/Ik zie uit naar de Heer")</f>
        <v>Opw 780 Verwachten/Ik zie uit naar de Heer</v>
      </c>
    </row>
    <row r="781" spans="1:1" ht="13" x14ac:dyDescent="0.15">
      <c r="A781" s="4" t="str">
        <f ca="1">IFERROR(__xludf.DUMMYFUNCTION("""COMPUTED_VALUE"""),"Opw 781 Jezus redt/Hoor de hartslag van de hemel")</f>
        <v>Opw 781 Jezus redt/Hoor de hartslag van de hemel</v>
      </c>
    </row>
    <row r="782" spans="1:1" ht="13" x14ac:dyDescent="0.15">
      <c r="A782" s="4" t="str">
        <f ca="1">IFERROR(__xludf.DUMMYFUNCTION("""COMPUTED_VALUE"""),"Opw 782 Geloofd zij de Heer/Ik heb U lief, Heer, mijn sterkte")</f>
        <v>Opw 782 Geloofd zij de Heer/Ik heb U lief, Heer, mijn sterkte</v>
      </c>
    </row>
    <row r="783" spans="1:1" ht="13" x14ac:dyDescent="0.15">
      <c r="A783" s="4" t="str">
        <f ca="1">IFERROR(__xludf.DUMMYFUNCTION("""COMPUTED_VALUE"""),"Opw 783 Wij houden ons niet langer stil/Jezus, U bent hier bij ons")</f>
        <v>Opw 783 Wij houden ons niet langer stil/Jezus, U bent hier bij ons</v>
      </c>
    </row>
    <row r="784" spans="1:1" ht="13" x14ac:dyDescent="0.15">
      <c r="A784" s="4" t="str">
        <f ca="1">IFERROR(__xludf.DUMMYFUNCTION("""COMPUTED_VALUE"""),"Opw 784 Laat alles in dit huis/Wij zijn gekomen om U te aanbidden, Jezus")</f>
        <v>Opw 784 Laat alles in dit huis/Wij zijn gekomen om U te aanbidden, Jezus</v>
      </c>
    </row>
    <row r="785" spans="1:1" ht="13" x14ac:dyDescent="0.15">
      <c r="A785" s="4" t="str">
        <f ca="1">IFERROR(__xludf.DUMMYFUNCTION("""COMPUTED_VALUE"""),"Opw 785 Fundament/Ik bouw op Jezus, anders niet (Myrin)")</f>
        <v>Opw 785 Fundament/Ik bouw op Jezus, anders niet (Myrin)</v>
      </c>
    </row>
    <row r="786" spans="1:1" ht="13" x14ac:dyDescent="0.15">
      <c r="A786" s="4" t="str">
        <f ca="1">IFERROR(__xludf.DUMMYFUNCTION("""COMPUTED_VALUE"""),"Opw 786 Met hart en handen/Schepper God, U die alles adem geeft")</f>
        <v>Opw 786 Met hart en handen/Schepper God, U die alles adem geeft</v>
      </c>
    </row>
    <row r="787" spans="1:1" ht="13" x14ac:dyDescent="0.15">
      <c r="A787" s="4" t="str">
        <f ca="1">IFERROR(__xludf.DUMMYFUNCTION("""COMPUTED_VALUE"""),"Opw 787 Man van smarten, Lam van God")</f>
        <v>Opw 787 Man van smarten, Lam van God</v>
      </c>
    </row>
    <row r="788" spans="1:1" ht="13" x14ac:dyDescent="0.15">
      <c r="A788" s="4" t="str">
        <f ca="1">IFERROR(__xludf.DUMMYFUNCTION("""COMPUTED_VALUE"""),"Opw 788 Wees welkom, Geest van God")</f>
        <v>Opw 788 Wees welkom, Geest van God</v>
      </c>
    </row>
    <row r="789" spans="1:1" ht="13" x14ac:dyDescent="0.15">
      <c r="A789" s="4" t="str">
        <f ca="1">IFERROR(__xludf.DUMMYFUNCTION("""COMPUTED_VALUE"""),"Opw 789 Lopen op het water/U leert me lopen op het water")</f>
        <v>Opw 789 Lopen op het water/U leert me lopen op het water</v>
      </c>
    </row>
    <row r="790" spans="1:1" ht="13" x14ac:dyDescent="0.15">
      <c r="A790" s="4" t="str">
        <f ca="1">IFERROR(__xludf.DUMMYFUNCTION("""COMPUTED_VALUE"""),"Opw 790 God is mijn Herder, die mij weidt")</f>
        <v>Opw 790 God is mijn Herder, die mij weidt</v>
      </c>
    </row>
    <row r="791" spans="1:1" ht="13" x14ac:dyDescent="0.15">
      <c r="A791" s="4" t="str">
        <f ca="1">IFERROR(__xludf.DUMMYFUNCTION("""COMPUTED_VALUE"""),"Opw 791 Almachtige/U bent de koning, U draagt de kroon")</f>
        <v>Opw 791 Almachtige/U bent de koning, U draagt de kroon</v>
      </c>
    </row>
    <row r="792" spans="1:1" ht="13" x14ac:dyDescent="0.15">
      <c r="A792" s="4" t="str">
        <f ca="1">IFERROR(__xludf.DUMMYFUNCTION("""COMPUTED_VALUE"""),"Opw 792 Eeuwig Halleluja/Als ik voor uw troon verschijn")</f>
        <v>Opw 792 Eeuwig Halleluja/Als ik voor uw troon verschijn</v>
      </c>
    </row>
    <row r="793" spans="1:1" ht="13" x14ac:dyDescent="0.15">
      <c r="A793" s="4" t="str">
        <f ca="1">IFERROR(__xludf.DUMMYFUNCTION("""COMPUTED_VALUE"""),"Opw 793 Een fonkelnieuw begin/Er breekt een lang beloofde toekomst aan")</f>
        <v>Opw 793 Een fonkelnieuw begin/Er breekt een lang beloofde toekomst aan</v>
      </c>
    </row>
    <row r="794" spans="1:1" ht="13" x14ac:dyDescent="0.15">
      <c r="A794" s="4" t="str">
        <f ca="1">IFERROR(__xludf.DUMMYFUNCTION("""COMPUTED_VALUE"""),"Opw 794 No longer slaves/You unravel me with a melody")</f>
        <v>Opw 794 No longer slaves/You unravel me with a melody</v>
      </c>
    </row>
    <row r="795" spans="1:1" ht="13" x14ac:dyDescent="0.15">
      <c r="A795" s="4" t="str">
        <f ca="1">IFERROR(__xludf.DUMMYFUNCTION("""COMPUTED_VALUE"""),"Opw 795 Amen(Opw.)/Ik geloof in de Zoon")</f>
        <v>Opw 795 Amen(Opw.)/Ik geloof in de Zoon</v>
      </c>
    </row>
    <row r="796" spans="1:1" ht="13" x14ac:dyDescent="0.15">
      <c r="A796" s="4" t="str">
        <f ca="1">IFERROR(__xludf.DUMMYFUNCTION("""COMPUTED_VALUE"""),"Opw 796 De Leeuw en het Lam/De wereld zal het zien")</f>
        <v>Opw 796 De Leeuw en het Lam/De wereld zal het zien</v>
      </c>
    </row>
    <row r="797" spans="1:1" ht="13" x14ac:dyDescent="0.15">
      <c r="A797" s="4" t="str">
        <f ca="1">IFERROR(__xludf.DUMMYFUNCTION("""COMPUTED_VALUE"""),"Opw 797 Breng ons samen/U roept ons samen als kerk van de Heer")</f>
        <v>Opw 797 Breng ons samen/U roept ons samen als kerk van de Heer</v>
      </c>
    </row>
    <row r="798" spans="1:1" ht="13" x14ac:dyDescent="0.15">
      <c r="A798" s="4" t="str">
        <f ca="1">IFERROR(__xludf.DUMMYFUNCTION("""COMPUTED_VALUE"""),"Opw 798 Houd vol/Wij zijn het volk van God")</f>
        <v>Opw 798 Houd vol/Wij zijn het volk van God</v>
      </c>
    </row>
    <row r="799" spans="1:1" ht="13" x14ac:dyDescent="0.15">
      <c r="A799" s="4" t="str">
        <f ca="1">IFERROR(__xludf.DUMMYFUNCTION("""COMPUTED_VALUE"""),"Opw 799 In eeuwigheid/De middag kleurde zwart")</f>
        <v>Opw 799 In eeuwigheid/De middag kleurde zwart</v>
      </c>
    </row>
    <row r="800" spans="1:1" ht="13" x14ac:dyDescent="0.15">
      <c r="A800" s="4" t="str">
        <f ca="1">IFERROR(__xludf.DUMMYFUNCTION("""COMPUTED_VALUE"""),"Opw 800 Koning met eer gekroond/Glorie aan de hoogste Heer")</f>
        <v>Opw 800 Koning met eer gekroond/Glorie aan de hoogste Heer</v>
      </c>
    </row>
    <row r="801" spans="1:1" ht="13" x14ac:dyDescent="0.15">
      <c r="A801" s="4" t="str">
        <f ca="1">IFERROR(__xludf.DUMMYFUNCTION("""COMPUTED_VALUE"""),"Opw 801 Het leven in mij/Mijn hart gelooft, mijn mond belijdt")</f>
        <v>Opw 801 Het leven in mij/Mijn hart gelooft, mijn mond belijdt</v>
      </c>
    </row>
    <row r="802" spans="1:1" ht="13" x14ac:dyDescent="0.15">
      <c r="A802" s="4" t="str">
        <f ca="1">IFERROR(__xludf.DUMMYFUNCTION("""COMPUTED_VALUE"""),"Opw 802 Hier is mijn hart, Heer")</f>
        <v>Opw 802 Hier is mijn hart, Heer</v>
      </c>
    </row>
    <row r="803" spans="1:1" ht="13" x14ac:dyDescent="0.15">
      <c r="A803" s="4" t="str">
        <f ca="1">IFERROR(__xludf.DUMMYFUNCTION("""COMPUTED_VALUE"""),"Opw 803 Vol ontzag/Ontzagwekkend is uw heiligheid")</f>
        <v>Opw 803 Vol ontzag/Ontzagwekkend is uw heiligheid</v>
      </c>
    </row>
    <row r="804" spans="1:1" ht="13" x14ac:dyDescent="0.15">
      <c r="A804" s="4" t="str">
        <f ca="1">IFERROR(__xludf.DUMMYFUNCTION("""COMPUTED_VALUE"""),"Opw 804 Good good father/I've heard a thousand stories")</f>
        <v>Opw 804 Good good father/I've heard a thousand stories</v>
      </c>
    </row>
    <row r="805" spans="1:1" ht="13" x14ac:dyDescent="0.15">
      <c r="A805" s="4" t="str">
        <f ca="1">IFERROR(__xludf.DUMMYFUNCTION("""COMPUTED_VALUE"""),"Opw 805 Maak ons hart onrustig, God")</f>
        <v>Opw 805 Maak ons hart onrustig, God</v>
      </c>
    </row>
    <row r="806" spans="1:1" ht="13" x14ac:dyDescent="0.15">
      <c r="A806" s="4" t="str">
        <f ca="1">IFERROR(__xludf.DUMMYFUNCTION("""COMPUTED_VALUE"""),"Opw 806 Soeverein/Er ligt hoop in onze tranen")</f>
        <v>Opw 806 Soeverein/Er ligt hoop in onze tranen</v>
      </c>
    </row>
    <row r="807" spans="1:1" ht="13" x14ac:dyDescent="0.15">
      <c r="A807" s="4" t="str">
        <f ca="1">IFERROR(__xludf.DUMMYFUNCTION("""COMPUTED_VALUE"""),"Opw 807 God van licht/In mijn twijfels, mijn verdriet")</f>
        <v>Opw 807 God van licht/In mijn twijfels, mijn verdriet</v>
      </c>
    </row>
    <row r="808" spans="1:1" ht="13" x14ac:dyDescent="0.15">
      <c r="A808" s="4" t="str">
        <f ca="1">IFERROR(__xludf.DUMMYFUNCTION("""COMPUTED_VALUE"""),"Opw 808 Ik leef in U/In de holte van uw hand")</f>
        <v>Opw 808 Ik leef in U/In de holte van uw hand</v>
      </c>
    </row>
    <row r="809" spans="1:1" ht="13" x14ac:dyDescent="0.15">
      <c r="A809" s="4" t="str">
        <f ca="1">IFERROR(__xludf.DUMMYFUNCTION("""COMPUTED_VALUE"""),"Opw 809 Dit is Jezus/Vanaf het begin was het Woord bij God")</f>
        <v>Opw 809 Dit is Jezus/Vanaf het begin was het Woord bij God</v>
      </c>
    </row>
    <row r="810" spans="1:1" ht="13" x14ac:dyDescent="0.15">
      <c r="A810" s="4" t="str">
        <f ca="1">IFERROR(__xludf.DUMMYFUNCTION("""COMPUTED_VALUE"""),"Opw 810 Smaak van redding/Onze God roept ons aan tafel")</f>
        <v>Opw 810 Smaak van redding/Onze God roept ons aan tafel</v>
      </c>
    </row>
    <row r="811" spans="1:1" ht="13" x14ac:dyDescent="0.15">
      <c r="A811" s="4" t="str">
        <f ca="1">IFERROR(__xludf.DUMMYFUNCTION("""COMPUTED_VALUE"""),"Opw 811 Witter dan sneeuw (Psalm 51)/Was mij witter dan sneeuw")</f>
        <v>Opw 811 Witter dan sneeuw (Psalm 51)/Was mij witter dan sneeuw</v>
      </c>
    </row>
    <row r="812" spans="1:1" ht="13" x14ac:dyDescent="0.15">
      <c r="A812" s="4" t="str">
        <f ca="1">IFERROR(__xludf.DUMMYFUNCTION("""COMPUTED_VALUE"""),"Opw 812 What a beautiful name/You were the Word at the beginning")</f>
        <v>Opw 812 What a beautiful name/You were the Word at the beginning</v>
      </c>
    </row>
    <row r="813" spans="1:1" ht="13" x14ac:dyDescent="0.15">
      <c r="A813" s="4" t="str">
        <f ca="1">IFERROR(__xludf.DUMMYFUNCTION("""COMPUTED_VALUE"""),"Opw 813 Uw liefde wint elke strijd/Heer, U leidt mij door uw hand")</f>
        <v>Opw 813 Uw liefde wint elke strijd/Heer, U leidt mij door uw hand</v>
      </c>
    </row>
    <row r="814" spans="1:1" ht="13" x14ac:dyDescent="0.15">
      <c r="A814" s="4" t="str">
        <f ca="1">IFERROR(__xludf.DUMMYFUNCTION("""COMPUTED_VALUE"""),"Opw 814 Glorieus/De hemel verhaalt van zijn majesteit")</f>
        <v>Opw 814 Glorieus/De hemel verhaalt van zijn majesteit</v>
      </c>
    </row>
    <row r="815" spans="1:1" ht="13" x14ac:dyDescent="0.15">
      <c r="A815" s="4" t="str">
        <f ca="1">IFERROR(__xludf.DUMMYFUNCTION("""COMPUTED_VALUE"""),"Opw 815 Vul dit huis met Uw glorie")</f>
        <v>Opw 815 Vul dit huis met Uw glorie</v>
      </c>
    </row>
    <row r="816" spans="1:1" ht="13" x14ac:dyDescent="0.15">
      <c r="A816" s="4" t="str">
        <f ca="1">IFERROR(__xludf.DUMMYFUNCTION("""COMPUTED_VALUE"""),"Opw 816 Hoogste God/Kom kijken wat de Heer gaat doen")</f>
        <v>Opw 816 Hoogste God/Kom kijken wat de Heer gaat doen</v>
      </c>
    </row>
    <row r="817" spans="1:1" ht="13" x14ac:dyDescent="0.15">
      <c r="A817" s="4" t="str">
        <f ca="1">IFERROR(__xludf.DUMMYFUNCTION("""COMPUTED_VALUE"""),"Opw 817 Wij hebben U lief/Heer Jezus, hier zijn wij")</f>
        <v>Opw 817 Wij hebben U lief/Heer Jezus, hier zijn wij</v>
      </c>
    </row>
    <row r="818" spans="1:1" ht="13" x14ac:dyDescent="0.15">
      <c r="A818" s="4" t="str">
        <f ca="1">IFERROR(__xludf.DUMMYFUNCTION("""COMPUTED_VALUE"""),"Opw 818 Op die dag/Eenmaal maakt U alles weer nieuw, Jezus")</f>
        <v>Opw 818 Op die dag/Eenmaal maakt U alles weer nieuw, Jezus</v>
      </c>
    </row>
    <row r="819" spans="1:1" ht="13" x14ac:dyDescent="0.15">
      <c r="A819" s="4" t="str">
        <f ca="1">IFERROR(__xludf.DUMMYFUNCTION("""COMPUTED_VALUE"""),"Opw 819 Niemand anders/Wie deed de eerste zon opgaan")</f>
        <v>Opw 819 Niemand anders/Wie deed de eerste zon opgaan</v>
      </c>
    </row>
    <row r="820" spans="1:1" ht="13" x14ac:dyDescent="0.15">
      <c r="A820" s="4" t="str">
        <f ca="1">IFERROR(__xludf.DUMMYFUNCTION("""COMPUTED_VALUE"""),"Opw 820 Feest van genade/Alzo lief had God de wereld (Opw)")</f>
        <v>Opw 820 Feest van genade/Alzo lief had God de wereld (Opw)</v>
      </c>
    </row>
    <row r="821" spans="1:1" ht="13" x14ac:dyDescent="0.15">
      <c r="A821" s="4" t="str">
        <f ca="1">IFERROR(__xludf.DUMMYFUNCTION("""COMPUTED_VALUE"""),"Opw 821 U verdient de eer/Kom en zing een vreugdelied")</f>
        <v>Opw 821 U verdient de eer/Kom en zing een vreugdelied</v>
      </c>
    </row>
    <row r="822" spans="1:1" ht="13" x14ac:dyDescent="0.15">
      <c r="A822" s="4" t="str">
        <f ca="1">IFERROR(__xludf.DUMMYFUNCTION("""COMPUTED_VALUE"""),"Opw 822 Mijn anker/Hoe diep de zee ook is")</f>
        <v>Opw 822 Mijn anker/Hoe diep de zee ook is</v>
      </c>
    </row>
    <row r="823" spans="1:1" ht="13" x14ac:dyDescent="0.15">
      <c r="A823" s="4" t="str">
        <f ca="1">IFERROR(__xludf.DUMMYFUNCTION("""COMPUTED_VALUE"""),"Opw 823 Hij laat ons niet vallen/Op God is onze hoop")</f>
        <v>Opw 823 Hij laat ons niet vallen/Op God is onze hoop</v>
      </c>
    </row>
    <row r="824" spans="1:1" ht="13" x14ac:dyDescent="0.15">
      <c r="A824" s="4" t="str">
        <f ca="1">IFERROR(__xludf.DUMMYFUNCTION("""COMPUTED_VALUE"""),"Opw 824 Morgen dans je weer/Prijs Hem, in je dag vol zorgen")</f>
        <v>Opw 824 Morgen dans je weer/Prijs Hem, in je dag vol zorgen</v>
      </c>
    </row>
    <row r="825" spans="1:1" ht="13" x14ac:dyDescent="0.15">
      <c r="A825" s="4" t="str">
        <f ca="1">IFERROR(__xludf.DUMMYFUNCTION("""COMPUTED_VALUE"""),"Opw 825 Reckless Love/Before I spoke a word")</f>
        <v>Opw 825 Reckless Love/Before I spoke a word</v>
      </c>
    </row>
    <row r="826" spans="1:1" ht="13" x14ac:dyDescent="0.15">
      <c r="A826" s="4" t="str">
        <f ca="1">IFERROR(__xludf.DUMMYFUNCTION("""COMPUTED_VALUE"""),"Opw 826 De Heer is mijn Bevrijder/God keek genadig naar mij om")</f>
        <v>Opw 826 De Heer is mijn Bevrijder/God keek genadig naar mij om</v>
      </c>
    </row>
    <row r="827" spans="1:1" ht="13" x14ac:dyDescent="0.15">
      <c r="A827" s="4" t="str">
        <f ca="1">IFERROR(__xludf.DUMMYFUNCTION("""COMPUTED_VALUE"""),"Opw 827 Zie onze God/Wie omvat de zeeën met zijn hand")</f>
        <v>Opw 827 Zie onze God/Wie omvat de zeeën met zijn hand</v>
      </c>
    </row>
    <row r="828" spans="1:1" ht="13" x14ac:dyDescent="0.15">
      <c r="A828" s="4" t="str">
        <f ca="1">IFERROR(__xludf.DUMMYFUNCTION("""COMPUTED_VALUE"""),"Opw 828 Waardig is uw naam/Lam van God, U die alle zonden")</f>
        <v>Opw 828 Waardig is uw naam/Lam van God, U die alle zonden</v>
      </c>
    </row>
    <row r="829" spans="1:1" ht="13" x14ac:dyDescent="0.15">
      <c r="A829" s="4" t="str">
        <f ca="1">IFERROR(__xludf.DUMMYFUNCTION("""COMPUTED_VALUE"""),"Opw 829 Wij zoeken U/O Heer, verlos ons van het kwaad")</f>
        <v>Opw 829 Wij zoeken U/O Heer, verlos ons van het kwaad</v>
      </c>
    </row>
    <row r="830" spans="1:1" ht="13" x14ac:dyDescent="0.15">
      <c r="A830" s="4" t="str">
        <f ca="1">IFERROR(__xludf.DUMMYFUNCTION("""COMPUTED_VALUE"""),"Opw 830 Vragen/Hoe we ook zwerven, zoekend en vragend")</f>
        <v>Opw 830 Vragen/Hoe we ook zwerven, zoekend en vragend</v>
      </c>
    </row>
    <row r="831" spans="1:1" ht="13" x14ac:dyDescent="0.15">
      <c r="A831" s="4" t="str">
        <f ca="1">IFERROR(__xludf.DUMMYFUNCTION("""COMPUTED_VALUE"""),"Opw 831 Hemelhoog/U gaat uw eigen wegen")</f>
        <v>Opw 831 Hemelhoog/U gaat uw eigen wegen</v>
      </c>
    </row>
    <row r="832" spans="1:1" ht="13" x14ac:dyDescent="0.15">
      <c r="A832" s="4" t="str">
        <f ca="1">IFERROR(__xludf.DUMMYFUNCTION("""COMPUTED_VALUE"""),"Opw 832 Jezus Overwinnaar/Waar U verschijnt, wordt alles nieuw")</f>
        <v>Opw 832 Jezus Overwinnaar/Waar U verschijnt, wordt alles nieuw</v>
      </c>
    </row>
    <row r="833" spans="1:1" ht="13" x14ac:dyDescent="0.15">
      <c r="A833" s="4" t="str">
        <f ca="1">IFERROR(__xludf.DUMMYFUNCTION("""COMPUTED_VALUE"""),"Opw 833 Kom, verras ons/U ontmoet ons, soms zo onverwachts")</f>
        <v>Opw 833 Kom, verras ons/U ontmoet ons, soms zo onverwachts</v>
      </c>
    </row>
    <row r="834" spans="1:1" ht="13" x14ac:dyDescent="0.15">
      <c r="A834" s="4" t="str">
        <f ca="1">IFERROR(__xludf.DUMMYFUNCTION("""COMPUTED_VALUE"""),"Opw 834 Door Gebed/Door gebed wordt duisternis verlicht")</f>
        <v>Opw 834 Door Gebed/Door gebed wordt duisternis verlicht</v>
      </c>
    </row>
    <row r="835" spans="1:1" ht="13" x14ac:dyDescent="0.15">
      <c r="A835" s="4" t="str">
        <f ca="1">IFERROR(__xludf.DUMMYFUNCTION("""COMPUTED_VALUE"""),"Opw 835 Blijf voor Hem zingen/Zing voor Hem, hemellichten")</f>
        <v>Opw 835 Blijf voor Hem zingen/Zing voor Hem, hemellichten</v>
      </c>
    </row>
    <row r="836" spans="1:1" ht="13" x14ac:dyDescent="0.15">
      <c r="A836" s="4" t="str">
        <f ca="1">IFERROR(__xludf.DUMMYFUNCTION("""COMPUTED_VALUE"""),"Opw 836 Door en door goed/Geen pen kan ooit beschrijven")</f>
        <v>Opw 836 Door en door goed/Geen pen kan ooit beschrijven</v>
      </c>
    </row>
    <row r="837" spans="1:1" ht="13" x14ac:dyDescent="0.15">
      <c r="A837" s="4" t="str">
        <f ca="1">IFERROR(__xludf.DUMMYFUNCTION("""COMPUTED_VALUE"""),"Opw 837 Toon ons uw glorie/U roept ons, wij komen")</f>
        <v>Opw 837 Toon ons uw glorie/U roept ons, wij komen</v>
      </c>
    </row>
    <row r="838" spans="1:1" ht="13" x14ac:dyDescent="0.15">
      <c r="A838" s="4" t="str">
        <f ca="1">IFERROR(__xludf.DUMMYFUNCTION("""COMPUTED_VALUE"""),"Opw 838 Proef en zie/Ik zoek de Heer")</f>
        <v>Opw 838 Proef en zie/Ik zoek de Heer</v>
      </c>
    </row>
    <row r="839" spans="1:1" ht="13" x14ac:dyDescent="0.15">
      <c r="A839" s="4" t="str">
        <f ca="1">IFERROR(__xludf.DUMMYFUNCTION("""COMPUTED_VALUE"""),"Opw 839 Aanbid Hem/Hij die was voor licht werd verspreid")</f>
        <v>Opw 839 Aanbid Hem/Hij die was voor licht werd verspreid</v>
      </c>
    </row>
    <row r="840" spans="1:1" ht="13" x14ac:dyDescent="0.15">
      <c r="A840" s="4" t="str">
        <f ca="1">IFERROR(__xludf.DUMMYFUNCTION("""COMPUTED_VALUE"""),"Opw 840 Heer, ik wacht op U/Vanuit de diepte roep ik U")</f>
        <v>Opw 840 Heer, ik wacht op U/Vanuit de diepte roep ik U</v>
      </c>
    </row>
    <row r="841" spans="1:1" ht="13" x14ac:dyDescent="0.15">
      <c r="A841" s="4" t="str">
        <f ca="1">IFERROR(__xludf.DUMMYFUNCTION("""COMPUTED_VALUE"""),"Opw 841 U mijn Heer/In U is alles vervuld")</f>
        <v>Opw 841 U mijn Heer/In U is alles vervuld</v>
      </c>
    </row>
    <row r="842" spans="1:1" ht="13" x14ac:dyDescent="0.15">
      <c r="A842" s="4" t="str">
        <f ca="1">IFERROR(__xludf.DUMMYFUNCTION("""COMPUTED_VALUE"""),"Opw 842 Moedig kom ik voor uw troon/Waar engelen vol eerbied staan")</f>
        <v>Opw 842 Moedig kom ik voor uw troon/Waar engelen vol eerbied staan</v>
      </c>
    </row>
    <row r="843" spans="1:1" ht="13" x14ac:dyDescent="0.15">
      <c r="A843" s="4" t="str">
        <f ca="1">IFERROR(__xludf.DUMMYFUNCTION("""COMPUTED_VALUE"""),"Opw 843 Vaste hoop/Diep was de kloof die mij van U scheidde")</f>
        <v>Opw 843 Vaste hoop/Diep was de kloof die mij van U scheidde</v>
      </c>
    </row>
    <row r="844" spans="1:1" ht="13" x14ac:dyDescent="0.15">
      <c r="A844" s="4" t="str">
        <f ca="1">IFERROR(__xludf.DUMMYFUNCTION("""COMPUTED_VALUE"""),"Opw 844 Zegen/De God van Abraham, Isaak en Jakob")</f>
        <v>Opw 844 Zegen/De God van Abraham, Isaak en Jakob</v>
      </c>
    </row>
    <row r="845" spans="1:1" ht="13" x14ac:dyDescent="0.15">
      <c r="A845" s="4" t="str">
        <f ca="1">IFERROR(__xludf.DUMMYFUNCTION("""COMPUTED_VALUE"""),"Opw 845 De zegen/De Heer zegent en beschermt jou")</f>
        <v>Opw 845 De zegen/De Heer zegent en beschermt jou</v>
      </c>
    </row>
    <row r="846" spans="1:1" ht="13" x14ac:dyDescent="0.15">
      <c r="A846" s="4" t="str">
        <f ca="1">IFERROR(__xludf.DUMMYFUNCTION("""COMPUTED_VALUE"""),"Opw 846 Abba/U bent een Vader die zingt en juicht over ons")</f>
        <v>Opw 846 Abba/U bent een Vader die zingt en juicht over ons</v>
      </c>
    </row>
    <row r="847" spans="1:1" ht="13" x14ac:dyDescent="0.15">
      <c r="A847" s="4" t="str">
        <f ca="1">IFERROR(__xludf.DUMMYFUNCTION("""COMPUTED_VALUE"""),"Opw 847 Onze schuilplaats is God/Er is hoop die groter dan de dood is")</f>
        <v>Opw 847 Onze schuilplaats is God/Er is hoop die groter dan de dood is</v>
      </c>
    </row>
    <row r="848" spans="1:1" ht="13" x14ac:dyDescent="0.15">
      <c r="A848" s="4" t="str">
        <f ca="1">IFERROR(__xludf.DUMMYFUNCTION("""COMPUTED_VALUE"""),"Opw 848 Alzo lief/Kom als je moe bent")</f>
        <v>Opw 848 Alzo lief/Kom als je moe bent</v>
      </c>
    </row>
    <row r="849" spans="1:1" ht="13" x14ac:dyDescent="0.15">
      <c r="A849" s="4" t="str">
        <f ca="1">IFERROR(__xludf.DUMMYFUNCTION("""COMPUTED_VALUE"""),"Opw 849 Goedheid van God/Ik hou van U. Uw genade blijft me dragen")</f>
        <v>Opw 849 Goedheid van God/Ik hou van U. Uw genade blijft me dragen</v>
      </c>
    </row>
    <row r="850" spans="1:1" ht="13" x14ac:dyDescent="0.15">
      <c r="A850" s="4" t="str">
        <f ca="1">IFERROR(__xludf.DUMMYFUNCTION("""COMPUTED_VALUE"""),"Opw 850 Het komt door ZIJN naam/Ons getuigenis is rijk")</f>
        <v>Opw 850 Het komt door ZIJN naam/Ons getuigenis is rijk</v>
      </c>
    </row>
    <row r="851" spans="1:1" ht="13" x14ac:dyDescent="0.15">
      <c r="A851" s="4" t="str">
        <f ca="1">IFERROR(__xludf.DUMMYFUNCTION("""COMPUTED_VALUE"""),"Opw 851 Prijs de Koning/Heer, wij dwaalden in het donker")</f>
        <v>Opw 851 Prijs de Koning/Heer, wij dwaalden in het donker</v>
      </c>
    </row>
    <row r="852" spans="1:1" ht="13" x14ac:dyDescent="0.15">
      <c r="A852" s="4" t="str">
        <f ca="1">IFERROR(__xludf.DUMMYFUNCTION("""COMPUTED_VALUE"""),"Opw 852 Zie het Lam van God")</f>
        <v>Opw 852 Zie het Lam van God</v>
      </c>
    </row>
    <row r="853" spans="1:1" ht="13" x14ac:dyDescent="0.15">
      <c r="A853" s="4" t="str">
        <f ca="1">IFERROR(__xludf.DUMMYFUNCTION("""COMPUTED_VALUE"""),"Opw 853 Zing zijn lied opnieuw/Zijn genade een wonder, zijn glorie zo groot")</f>
        <v>Opw 853 Zing zijn lied opnieuw/Zijn genade een wonder, zijn glorie zo groot</v>
      </c>
    </row>
    <row r="854" spans="1:1" ht="13" x14ac:dyDescent="0.15">
      <c r="A854" s="4" t="str">
        <f ca="1">IFERROR(__xludf.DUMMYFUNCTION("""COMPUTED_VALUE"""),"Opw 854 In de stilte/Hier in de stilte zoek ik U")</f>
        <v>Opw 854 In de stilte/Hier in de stilte zoek ik U</v>
      </c>
    </row>
    <row r="855" spans="1:1" ht="13" x14ac:dyDescent="0.15">
      <c r="A855" s="4" t="str">
        <f ca="1">IFERROR(__xludf.DUMMYFUNCTION("""COMPUTED_VALUE"""),"Opw 855 U geeft rust/De aarde kent uw grote kracht")</f>
        <v>Opw 855 U geeft rust/De aarde kent uw grote kracht</v>
      </c>
    </row>
    <row r="856" spans="1:1" ht="13" x14ac:dyDescent="0.15">
      <c r="A856" s="4" t="str">
        <f ca="1">IFERROR(__xludf.DUMMYFUNCTION("""COMPUTED_VALUE"""),"Opw 856 Het bloed van Jezus spreekt voor mij")</f>
        <v>Opw 856 Het bloed van Jezus spreekt voor mij</v>
      </c>
    </row>
    <row r="857" spans="1:1" ht="13" x14ac:dyDescent="0.15">
      <c r="A857" s="4" t="str">
        <f ca="1">IFERROR(__xludf.DUMMYFUNCTION("""COMPUTED_VALUE"""),"Opw 857 Hoop in leven en in dood/Wie troost in leven en in dood")</f>
        <v>Opw 857 Hoop in leven en in dood/Wie troost in leven en in dood</v>
      </c>
    </row>
    <row r="858" spans="1:1" ht="13" x14ac:dyDescent="0.15">
      <c r="A858" s="4" t="str">
        <f ca="1">IFERROR(__xludf.DUMMYFUNCTION("""COMPUTED_VALUE"""),"Opw 858 De strijd behoort U toe / Als ik alleen maar strijd zie")</f>
        <v>Opw 858 De strijd behoort U toe / Als ik alleen maar strijd zie</v>
      </c>
    </row>
    <row r="859" spans="1:1" ht="13" x14ac:dyDescent="0.15">
      <c r="A859" s="4" t="str">
        <f ca="1">IFERROR(__xludf.DUMMYFUNCTION("""COMPUTED_VALUE"""),"Opw 859 Een nieuwe naam / Verloren en beschaamd")</f>
        <v>Opw 859 Een nieuwe naam / Verloren en beschaamd</v>
      </c>
    </row>
    <row r="860" spans="1:1" ht="13" x14ac:dyDescent="0.15">
      <c r="A860" s="4" t="str">
        <f ca="1">IFERROR(__xludf.DUMMYFUNCTION("""COMPUTED_VALUE"""),"Opw 860 Toon mij uw glorie / Hier ben ik, hier bij U")</f>
        <v>Opw 860 Toon mij uw glorie / Hier ben ik, hier bij U</v>
      </c>
    </row>
    <row r="861" spans="1:1" ht="13" x14ac:dyDescent="0.15">
      <c r="A861" s="4" t="str">
        <f ca="1">IFERROR(__xludf.DUMMYFUNCTION("""COMPUTED_VALUE"""),"Opw 861 Uw grote trouw / U bent waar wij zijn")</f>
        <v>Opw 861 Uw grote trouw / U bent waar wij zijn</v>
      </c>
    </row>
    <row r="862" spans="1:1" ht="13" x14ac:dyDescent="0.15">
      <c r="A862" s="4" t="str">
        <f ca="1">IFERROR(__xludf.DUMMYFUNCTION("""COMPUTED_VALUE"""),"Opw 862 Vrijheid / Stap uit de schaduw")</f>
        <v>Opw 862 Vrijheid / Stap uit de schaduw</v>
      </c>
    </row>
    <row r="863" spans="1:1" ht="13" x14ac:dyDescent="0.15">
      <c r="A863" s="4" t="str">
        <f ca="1">IFERROR(__xludf.DUMMYFUNCTION("""COMPUTED_VALUE"""),"Opw 863 Verhoog zijn naam / Alles wat leeft, bestaat door Hem")</f>
        <v>Opw 863 Verhoog zijn naam / Alles wat leeft, bestaat door Hem</v>
      </c>
    </row>
    <row r="864" spans="1:1" ht="13" x14ac:dyDescent="0.15">
      <c r="A864" s="4" t="str">
        <f ca="1">IFERROR(__xludf.DUMMYFUNCTION("""COMPUTED_VALUE"""),"Opw 864 Alle glorie / Er is maar een god die zijn troon verliet")</f>
        <v>Opw 864 Alle glorie / Er is maar een god die zijn troon verliet</v>
      </c>
    </row>
    <row r="865" spans="1:1" ht="13" x14ac:dyDescent="0.15">
      <c r="A865" s="4" t="str">
        <f ca="1">IFERROR(__xludf.DUMMYFUNCTION("""COMPUTED_VALUE"""),"Opw 865 Hier zijn / Alles kan wachten, Heer")</f>
        <v>Opw 865 Hier zijn / Alles kan wachten, Heer</v>
      </c>
    </row>
    <row r="866" spans="1:1" ht="13" x14ac:dyDescent="0.15">
      <c r="A866" s="4" t="str">
        <f ca="1">IFERROR(__xludf.DUMMYFUNCTION("""COMPUTED_VALUE"""),"Opw 866 Egypte / Dit blijft ons bij")</f>
        <v>Opw 866 Egypte / Dit blijft ons bij</v>
      </c>
    </row>
    <row r="867" spans="1:1" ht="13" x14ac:dyDescent="0.15">
      <c r="A867" s="4" t="str">
        <f ca="1">IFERROR(__xludf.DUMMYFUNCTION("""COMPUTED_VALUE"""),"Opw 867 De naam van Jezus / In geloof spreek ik de naam van Jezus")</f>
        <v>Opw 867 De naam van Jezus / In geloof spreek ik de naam van Jezus</v>
      </c>
    </row>
    <row r="868" spans="1:1" ht="13" x14ac:dyDescent="0.15">
      <c r="A868" s="4" t="str">
        <f ca="1">IFERROR(__xludf.DUMMYFUNCTION("""COMPUTED_VALUE"""),"Opw 868 Hoop en redding / Hoor ons bidden, hoogste Koning")</f>
        <v>Opw 868 Hoop en redding / Hoor ons bidden, hoogste Koning</v>
      </c>
    </row>
    <row r="869" spans="1:1" ht="13" x14ac:dyDescent="0.15">
      <c r="A869" s="4" t="str">
        <f ca="1">IFERROR(__xludf.DUMMYFUNCTION("""COMPUTED_VALUE"""),"Opw 869 Huis van gebed / Maak dit huis tot een huis van gebed")</f>
        <v>Opw 869 Huis van gebed / Maak dit huis tot een huis van gebed</v>
      </c>
    </row>
    <row r="870" spans="1:1" ht="13" x14ac:dyDescent="0.15">
      <c r="A870" s="4" t="str">
        <f ca="1">IFERROR(__xludf.DUMMYFUNCTION("""COMPUTED_VALUE"""),"Opw 870 Diep geraakt / Wij zien grote daden van Jezus")</f>
        <v>Opw 870 Diep geraakt / Wij zien grote daden van Jezus</v>
      </c>
    </row>
    <row r="871" spans="1:1" ht="13" x14ac:dyDescent="0.15">
      <c r="A871" s="4" t="str">
        <f ca="1">IFERROR(__xludf.DUMMYFUNCTION("""COMPUTED_VALUE"""),"Opw 871 Heer, U riep ons uit de duisternis / Laat de volken zingen")</f>
        <v>Opw 871 Heer, U riep ons uit de duisternis / Laat de volken zingen</v>
      </c>
    </row>
    <row r="872" spans="1:1" ht="13" x14ac:dyDescent="0.15">
      <c r="A872" s="4" t="str">
        <f ca="1">IFERROR(__xludf.DUMMYFUNCTION("""COMPUTED_VALUE"""),"Opw 872 Liefde daalde neer / Wonderlijke kracht")</f>
        <v>Opw 872 Liefde daalde neer / Wonderlijke kracht</v>
      </c>
    </row>
    <row r="873" spans="1:1" ht="13" x14ac:dyDescent="0.15">
      <c r="A873" s="4" t="str">
        <f ca="1">IFERROR(__xludf.DUMMYFUNCTION("""COMPUTED_VALUE"""),"Opw 873 Wie anders laat zelfs stenen zingen / Duizend halleluja's")</f>
        <v>Opw 873 Wie anders laat zelfs stenen zingen / Duizend halleluja's</v>
      </c>
    </row>
    <row r="874" spans="1:1" ht="13" x14ac:dyDescent="0.15">
      <c r="A874" s="4" t="str">
        <f ca="1">IFERROR(__xludf.DUMMYFUNCTION("""COMPUTED_VALUE"""),"Opw 874 God van Abraham /Uw trouw")</f>
        <v>Opw 874 God van Abraham /Uw trouw</v>
      </c>
    </row>
    <row r="875" spans="1:1" ht="13" x14ac:dyDescent="0.15">
      <c r="A875" s="4" t="str">
        <f ca="1">IFERROR(__xludf.DUMMYFUNCTION("""COMPUTED_VALUE"""),"Opw 875 Heer, ik liep vast / Dank U Jezus voor uw kostbaar bloed")</f>
        <v>Opw 875 Heer, ik liep vast / Dank U Jezus voor uw kostbaar bloed</v>
      </c>
    </row>
    <row r="876" spans="1:1" ht="13" x14ac:dyDescent="0.15">
      <c r="A876" s="4" t="str">
        <f ca="1">IFERROR(__xludf.DUMMYFUNCTION("""COMPUTED_VALUE"""),"Opw 876 Duizend generaties knielen in aanbidding / Voor altijd heilig")</f>
        <v>Opw 876 Duizend generaties knielen in aanbidding / Voor altijd heilig</v>
      </c>
    </row>
    <row r="877" spans="1:1" ht="13" x14ac:dyDescent="0.15">
      <c r="A877" s="4" t="str">
        <f ca="1">IFERROR(__xludf.DUMMYFUNCTION("""COMPUTED_VALUE"""),"Opw 877 Ik roep tot U, de God van Jakob /U bent dezelfde")</f>
        <v>Opw 877 Ik roep tot U, de God van Jakob /U bent dezelfde</v>
      </c>
    </row>
    <row r="878" spans="1:1" ht="13" x14ac:dyDescent="0.15">
      <c r="A878" s="4" t="str">
        <f ca="1">IFERROR(__xludf.DUMMYFUNCTION("""COMPUTED_VALUE"""),"Opw 878 Adonai, Elohim, de Ik Ben, U bent hier/ Voor eeuwig Jahweh")</f>
        <v>Opw 878 Adonai, Elohim, de Ik Ben, U bent hier/ Voor eeuwig Jahweh</v>
      </c>
    </row>
    <row r="879" spans="1:1" ht="13" x14ac:dyDescent="0.15">
      <c r="A879" s="4" t="str">
        <f ca="1">IFERROR(__xludf.DUMMYFUNCTION("""COMPUTED_VALUE"""),"Opw 879 U verwelkomt ons / Hart vol lof")</f>
        <v>Opw 879 U verwelkomt ons / Hart vol lof</v>
      </c>
    </row>
    <row r="880" spans="1:1" ht="13" x14ac:dyDescent="0.15">
      <c r="A880" s="4" t="str">
        <f ca="1">IFERROR(__xludf.DUMMYFUNCTION("""COMPUTED_VALUE"""),"Opw 880 Heer, ik roep vanuit het dal")</f>
        <v>Opw 880 Heer, ik roep vanuit het dal</v>
      </c>
    </row>
    <row r="881" spans="1:1" ht="13" x14ac:dyDescent="0.15">
      <c r="A881" s="4" t="str">
        <f ca="1">IFERROR(__xludf.DUMMYFUNCTION("""COMPUTED_VALUE"""),"Opw 881 Kom en aanbid onze Heer / Machtige daden")</f>
        <v>Opw 881 Kom en aanbid onze Heer / Machtige daden</v>
      </c>
    </row>
    <row r="882" spans="1:1" ht="13" x14ac:dyDescent="0.15">
      <c r="A882" s="4" t="str">
        <f ca="1">IFERROR(__xludf.DUMMYFUNCTION("""COMPUTED_VALUE"""),"Opw 882 Ik wil U kennen, persoonlijk kennen / Kennen")</f>
        <v>Opw 882 Ik wil U kennen, persoonlijk kennen / Kennen</v>
      </c>
    </row>
    <row r="883" spans="1:1" ht="13" x14ac:dyDescent="0.15">
      <c r="A883" s="4" t="str">
        <f ca="1">IFERROR(__xludf.DUMMYFUNCTION("""COMPUTED_VALUE"""),"Opw 883 Het leven kan soms kwetsbaar en onzeker zijn / Wij zien Jezus")</f>
        <v>Opw 883 Het leven kan soms kwetsbaar en onzeker zijn / Wij zien Jezus</v>
      </c>
    </row>
    <row r="884" spans="1:1" ht="13" x14ac:dyDescent="0.15">
      <c r="A884" s="4" t="str">
        <f ca="1">IFERROR(__xludf.DUMMYFUNCTION("""COMPUTED_VALUE"""),"Opw 884 Oneindige goedheid, trouw zonder grenzen / Allesomvattend")</f>
        <v>Opw 884 Oneindige goedheid, trouw zonder grenzen / Allesomvattend</v>
      </c>
    </row>
    <row r="885" spans="1:1" ht="13" x14ac:dyDescent="0.15">
      <c r="A885" s="4" t="str">
        <f ca="1">IFERROR(__xludf.DUMMYFUNCTION("""COMPUTED_VALUE"""),"Opw 885 Let everything that has breath / Praise")</f>
        <v>Opw 885 Let everything that has breath / Praise</v>
      </c>
    </row>
    <row r="886" spans="1:1" ht="13" x14ac:dyDescent="0.15">
      <c r="A886" s="4" t="str">
        <f ca="1">IFERROR(__xludf.DUMMYFUNCTION("""COMPUTED_VALUE"""),"Opw 886 Muren van zonde en schuld hielden ons vast / Dit is onze God")</f>
        <v>Opw 886 Muren van zonde en schuld hielden ons vast / Dit is onze God</v>
      </c>
    </row>
    <row r="887" spans="1:1" ht="13" x14ac:dyDescent="0.15">
      <c r="A887" s="4" t="str">
        <f ca="1">IFERROR(__xludf.DUMMYFUNCTION("""COMPUTED_VALUE"""),"Opw 887 Eén naam verdient onze aanbidding / Kijk naar het Lam")</f>
        <v>Opw 887 Eén naam verdient onze aanbidding / Kijk naar het Lam</v>
      </c>
    </row>
    <row r="888" spans="1:1" ht="13" x14ac:dyDescent="0.15">
      <c r="A888" s="4" t="str">
        <f ca="1">IFERROR(__xludf.DUMMYFUNCTION("""COMPUTED_VALUE"""),"Opw 888 Zie het Lam, zie de wonden in zijn hand / Hij leeft(, Hij leeft)")</f>
        <v>Opw 888 Zie het Lam, zie de wonden in zijn hand / Hij leeft(, Hij leeft)</v>
      </c>
    </row>
    <row r="889" spans="1:1" ht="13" x14ac:dyDescent="0.15">
      <c r="A889" s="4" t="str">
        <f ca="1">IFERROR(__xludf.DUMMYFUNCTION("""COMPUTED_VALUE"""),"Opw 889 Het licht breekt door, de dag ontwaakt / Dagelijks gebed")</f>
        <v>Opw 889 Het licht breekt door, de dag ontwaakt / Dagelijks gebed</v>
      </c>
    </row>
    <row r="890" spans="1:1" ht="13" x14ac:dyDescent="0.15">
      <c r="A890" s="4" t="str">
        <f ca="1">IFERROR(__xludf.DUMMYFUNCTION("""COMPUTED_VALUE"""),"Opw 890 Hier zijn wij, hier bent U / Wij aanbidden U, Jezus")</f>
        <v>Opw 890 Hier zijn wij, hier bent U / Wij aanbidden U, Jezus</v>
      </c>
    </row>
    <row r="891" spans="1:1" ht="13" x14ac:dyDescent="0.15">
      <c r="A891" s="4" t="str">
        <f ca="1">IFERROR(__xludf.DUMMYFUNCTION("""COMPUTED_VALUE"""),"Opw 891 Of ik wonden moet verzorgen / Zend mij")</f>
        <v>Opw 891 Of ik wonden moet verzorgen / Zend mij</v>
      </c>
    </row>
    <row r="892" spans="1:1" ht="13" x14ac:dyDescent="0.15">
      <c r="A892" s="4" t="str">
        <f ca="1">IFERROR(__xludf.DUMMYFUNCTION("""COMPUTED_VALUE"""),"Opw 892 Here is where I lay it down / Make room")</f>
        <v>Opw 892 Here is where I lay it down / Make room</v>
      </c>
    </row>
    <row r="893" spans="1:1" ht="13" x14ac:dyDescent="0.15">
      <c r="A893" s="4" t="str">
        <f ca="1">IFERROR(__xludf.DUMMYFUNCTION("""COMPUTED_VALUE"""),"Opw 893 Wat ik zo nodig heb / Huis van vrede")</f>
        <v>Opw 893 Wat ik zo nodig heb / Huis van vrede</v>
      </c>
    </row>
    <row r="894" spans="1:1" ht="13" x14ac:dyDescent="0.15">
      <c r="A894" s="4" t="str">
        <f ca="1">IFERROR(__xludf.DUMMYFUNCTION("""COMPUTED_VALUE"""),"Opw 894 Gezegend is wie bij Hem schuilt / Prijs God")</f>
        <v>Opw 894 Gezegend is wie bij Hem schuilt / Prijs God</v>
      </c>
    </row>
    <row r="895" spans="1:1" ht="13" x14ac:dyDescent="0.15">
      <c r="A895" s="4" t="str">
        <f ca="1">IFERROR(__xludf.DUMMYFUNCTION("""COMPUTED_VALUE"""),"Opw 895 Wij zullen niet bang zijn / God is voor ons")</f>
        <v>Opw 895 Wij zullen niet bang zijn / God is voor ons</v>
      </c>
    </row>
    <row r="896" spans="1:1" ht="13" x14ac:dyDescent="0.15">
      <c r="A896" s="4" t="str">
        <f ca="1">IFERROR(__xludf.DUMMYFUNCTION("""COMPUTED_VALUE"""),"Opw 896 Wij kijken reikhalzend uit naar de wolken /Reikhalzend")</f>
        <v>Opw 896 Wij kijken reikhalzend uit naar de wolken /Reikhalzend</v>
      </c>
    </row>
    <row r="897" spans="1:1" ht="13" x14ac:dyDescent="0.15">
      <c r="A897" s="4" t="str">
        <f ca="1">IFERROR(__xludf.DUMMYFUNCTION("""COMPUTED_VALUE"""),"Opw 897 Zie, op het kruis van Golgotha / Wat Hij deed")</f>
        <v>Opw 897 Zie, op het kruis van Golgotha / Wat Hij deed</v>
      </c>
    </row>
    <row r="898" spans="1:1" ht="13" x14ac:dyDescent="0.15">
      <c r="A898" s="4" t="str">
        <f ca="1">IFERROR(__xludf.DUMMYFUNCTION("""COMPUTED_VALUE"""),"Opw 898 Breek de hemelen open")</f>
        <v>Opw 898 Breek de hemelen open</v>
      </c>
    </row>
    <row r="899" spans="1:1" ht="13" x14ac:dyDescent="0.15">
      <c r="A899" s="4" t="str">
        <f ca="1">IFERROR(__xludf.DUMMYFUNCTION("""COMPUTED_VALUE"""),"Opw 899 U gaf mij deel aan uw verbond / Alleen door Jezus")</f>
        <v>Opw 899 U gaf mij deel aan uw verbond / Alleen door Jezus</v>
      </c>
    </row>
    <row r="900" spans="1:1" ht="13" x14ac:dyDescent="0.15">
      <c r="A900" s="4" t="str">
        <f ca="1">IFERROR(__xludf.DUMMYFUNCTION("""COMPUTED_VALUE"""),"Opw 900 I've got joy in the morning /Joy")</f>
        <v>Opw 900 I've got joy in the morning /Joy</v>
      </c>
    </row>
    <row r="901" spans="1:1" ht="13" x14ac:dyDescent="0.15">
      <c r="A901" s="4" t="str">
        <f ca="1">IFERROR(__xludf.DUMMYFUNCTION("""COMPUTED_VALUE"""),"Opw 901 Sinds het begin, Heer /Ik geloof( Gayle)")</f>
        <v>Opw 901 Sinds het begin, Heer /Ik geloof( Gayle)</v>
      </c>
    </row>
    <row r="902" spans="1:1" ht="13" x14ac:dyDescent="0.15">
      <c r="A902" s="4" t="str">
        <f ca="1">IFERROR(__xludf.DUMMYFUNCTION("""COMPUTED_VALUE"""),"Opw 902 Ik zie een troon staan in de hemel / Leeuw van Juda")</f>
        <v>Opw 902 Ik zie een troon staan in de hemel / Leeuw van Juda</v>
      </c>
    </row>
    <row r="903" spans="1:1" ht="13" x14ac:dyDescent="0.15">
      <c r="A903" s="4" t="str">
        <f ca="1">IFERROR(__xludf.DUMMYFUNCTION("""COMPUTED_VALUE"""),"Opw 903 Ik ben een instrument voor uw aanbidding / Wie is er waardig")</f>
        <v>Opw 903 Ik ben een instrument voor uw aanbidding / Wie is er waardig</v>
      </c>
    </row>
    <row r="904" spans="1:1" ht="13" x14ac:dyDescent="0.15">
      <c r="A904" s="4" t="str">
        <f ca="1">IFERROR(__xludf.DUMMYFUNCTION("""COMPUTED_VALUE"""),"Opw 904 De vreugde van mijn hart / Heilig heilig heilig")</f>
        <v>Opw 904 De vreugde van mijn hart / Heilig heilig heilig</v>
      </c>
    </row>
    <row r="905" spans="1:1" ht="13" x14ac:dyDescent="0.15">
      <c r="A905" s="4" t="str">
        <f ca="1">IFERROR(__xludf.DUMMYFUNCTION("""COMPUTED_VALUE"""),"Opw 905 Voor mijn adem, God /Blijf")</f>
        <v>Opw 905 Voor mijn adem, God /Blijf</v>
      </c>
    </row>
    <row r="906" spans="1:1" ht="13" x14ac:dyDescent="0.15">
      <c r="A906" s="4" t="str">
        <f ca="1">IFERROR(__xludf.DUMMYFUNCTION("""COMPUTED_VALUE"""),"Opw 906 Niet langer ik, maar Christus leeft in mij / Ja, opnieuw")</f>
        <v>Opw 906 Niet langer ik, maar Christus leeft in mij / Ja, opnieuw</v>
      </c>
    </row>
    <row r="907" spans="1:1" ht="13" x14ac:dyDescent="0.15">
      <c r="A907" s="4" t="str">
        <f ca="1">IFERROR(__xludf.DUMMYFUNCTION("""COMPUTED_VALUE"""),"Opw 907 Wij willen een kerk zijn die levend is / Vurig verlangen")</f>
        <v>Opw 907 Wij willen een kerk zijn die levend is / Vurig verlangen</v>
      </c>
    </row>
    <row r="908" spans="1:1" ht="13" x14ac:dyDescent="0.15">
      <c r="A908" s="4" t="str">
        <f ca="1">IFERROR(__xludf.DUMMYFUNCTION("""COMPUTED_VALUE"""),"Opw 908 De Heere zegent jou / Halleluja amen")</f>
        <v>Opw 908 De Heere zegent jou / Halleluja amen</v>
      </c>
    </row>
    <row r="909" spans="1:1" ht="13" x14ac:dyDescent="0.15">
      <c r="A909" s="4" t="str">
        <f ca="1">IFERROR(__xludf.DUMMYFUNCTION("""COMPUTED_VALUE"""),"Sela - Aan mijn zij")</f>
        <v>Sela - Aan mijn zij</v>
      </c>
    </row>
    <row r="910" spans="1:1" ht="13" x14ac:dyDescent="0.15">
      <c r="A910" s="4" t="str">
        <f ca="1">IFERROR(__xludf.DUMMYFUNCTION("""COMPUTED_VALUE"""),"Sela - Aan uw tafel")</f>
        <v>Sela - Aan uw tafel</v>
      </c>
    </row>
    <row r="911" spans="1:1" ht="13" x14ac:dyDescent="0.15">
      <c r="A911" s="4" t="str">
        <f ca="1">IFERROR(__xludf.DUMMYFUNCTION("""COMPUTED_VALUE"""),"Sela - Agnus Dei")</f>
        <v>Sela - Agnus Dei</v>
      </c>
    </row>
    <row r="912" spans="1:1" ht="13" x14ac:dyDescent="0.15">
      <c r="A912" s="4" t="str">
        <f ca="1">IFERROR(__xludf.DUMMYFUNCTION("""COMPUTED_VALUE"""),"Sela - Alfa en omega")</f>
        <v>Sela - Alfa en omega</v>
      </c>
    </row>
    <row r="913" spans="1:1" ht="13" x14ac:dyDescent="0.15">
      <c r="A913" s="4" t="str">
        <f ca="1">IFERROR(__xludf.DUMMYFUNCTION("""COMPUTED_VALUE"""),"Sela - Alle eer aan God")</f>
        <v>Sela - Alle eer aan God</v>
      </c>
    </row>
    <row r="914" spans="1:1" ht="13" x14ac:dyDescent="0.15">
      <c r="A914" s="4" t="str">
        <f ca="1">IFERROR(__xludf.DUMMYFUNCTION("""COMPUTED_VALUE"""),"Sela - Alleen met God")</f>
        <v>Sela - Alleen met God</v>
      </c>
    </row>
    <row r="915" spans="1:1" ht="13" x14ac:dyDescent="0.15">
      <c r="A915" s="4" t="str">
        <f ca="1">IFERROR(__xludf.DUMMYFUNCTION("""COMPUTED_VALUE"""),"Sela - Alles voor Hem")</f>
        <v>Sela - Alles voor Hem</v>
      </c>
    </row>
    <row r="916" spans="1:1" ht="13" x14ac:dyDescent="0.15">
      <c r="A916" s="4" t="str">
        <f ca="1">IFERROR(__xludf.DUMMYFUNCTION("""COMPUTED_VALUE"""),"Sela - Alles wat adem heeft")</f>
        <v>Sela - Alles wat adem heeft</v>
      </c>
    </row>
    <row r="917" spans="1:1" ht="13" x14ac:dyDescent="0.15">
      <c r="A917" s="4" t="str">
        <f ca="1">IFERROR(__xludf.DUMMYFUNCTION("""COMPUTED_VALUE"""),"Sela - Alles wordt nieuw")</f>
        <v>Sela - Alles wordt nieuw</v>
      </c>
    </row>
    <row r="918" spans="1:1" ht="13" x14ac:dyDescent="0.15">
      <c r="A918" s="4" t="str">
        <f ca="1">IFERROR(__xludf.DUMMYFUNCTION("""COMPUTED_VALUE"""),"Sela - Als alles duister is")</f>
        <v>Sela - Als alles duister is</v>
      </c>
    </row>
    <row r="919" spans="1:1" ht="13" x14ac:dyDescent="0.15">
      <c r="A919" s="4" t="str">
        <f ca="1">IFERROR(__xludf.DUMMYFUNCTION("""COMPUTED_VALUE"""),"Sela - Als een vuur van binnen")</f>
        <v>Sela - Als een vuur van binnen</v>
      </c>
    </row>
    <row r="920" spans="1:1" ht="13" x14ac:dyDescent="0.15">
      <c r="A920" s="4" t="str">
        <f ca="1">IFERROR(__xludf.DUMMYFUNCTION("""COMPUTED_VALUE"""),"Sela - Als ik U ontmoet")</f>
        <v>Sela - Als ik U ontmoet</v>
      </c>
    </row>
    <row r="921" spans="1:1" ht="13" x14ac:dyDescent="0.15">
      <c r="A921" s="4" t="str">
        <f ca="1">IFERROR(__xludf.DUMMYFUNCTION("""COMPUTED_VALUE"""),"Sela - Als ik naar de bergen kijk")</f>
        <v>Sela - Als ik naar de bergen kijk</v>
      </c>
    </row>
    <row r="922" spans="1:1" ht="13" x14ac:dyDescent="0.15">
      <c r="A922" s="4" t="str">
        <f ca="1">IFERROR(__xludf.DUMMYFUNCTION("""COMPUTED_VALUE"""),"Sela - Altijd bij U")</f>
        <v>Sela - Altijd bij U</v>
      </c>
    </row>
    <row r="923" spans="1:1" ht="13" x14ac:dyDescent="0.15">
      <c r="A923" s="4" t="str">
        <f ca="1">IFERROR(__xludf.DUMMYFUNCTION("""COMPUTED_VALUE"""),"Sela - Altijd dezelfde")</f>
        <v>Sela - Altijd dezelfde</v>
      </c>
    </row>
    <row r="924" spans="1:1" ht="13" x14ac:dyDescent="0.15">
      <c r="A924" s="4" t="str">
        <f ca="1">IFERROR(__xludf.DUMMYFUNCTION("""COMPUTED_VALUE"""),"Sela - Avondlied")</f>
        <v>Sela - Avondlied</v>
      </c>
    </row>
    <row r="925" spans="1:1" ht="13" x14ac:dyDescent="0.15">
      <c r="A925" s="4" t="str">
        <f ca="1">IFERROR(__xludf.DUMMYFUNCTION("""COMPUTED_VALUE"""),"Sela - Avondmaal")</f>
        <v>Sela - Avondmaal</v>
      </c>
    </row>
    <row r="926" spans="1:1" ht="13" x14ac:dyDescent="0.15">
      <c r="A926" s="4" t="str">
        <f ca="1">IFERROR(__xludf.DUMMYFUNCTION("""COMPUTED_VALUE"""),"Sela - Belijdenis")</f>
        <v>Sela - Belijdenis</v>
      </c>
    </row>
    <row r="927" spans="1:1" ht="13" x14ac:dyDescent="0.15">
      <c r="A927" s="4" t="str">
        <f ca="1">IFERROR(__xludf.DUMMYFUNCTION("""COMPUTED_VALUE"""),"Sela - Bid met mij")</f>
        <v>Sela - Bid met mij</v>
      </c>
    </row>
    <row r="928" spans="1:1" ht="13" x14ac:dyDescent="0.15">
      <c r="A928" s="4" t="str">
        <f ca="1">IFERROR(__xludf.DUMMYFUNCTION("""COMPUTED_VALUE"""),"Sela - Bij U is de bron (Psalm 36)")</f>
        <v>Sela - Bij U is de bron (Psalm 36)</v>
      </c>
    </row>
    <row r="929" spans="1:1" ht="13" x14ac:dyDescent="0.15">
      <c r="A929" s="4" t="str">
        <f ca="1">IFERROR(__xludf.DUMMYFUNCTION("""COMPUTED_VALUE"""),"Sela - Blijf in mij")</f>
        <v>Sela - Blijf in mij</v>
      </c>
    </row>
    <row r="930" spans="1:1" ht="13" x14ac:dyDescent="0.15">
      <c r="A930" s="4" t="str">
        <f ca="1">IFERROR(__xludf.DUMMYFUNCTION("""COMPUTED_VALUE"""),"Sela - Breng ons samen")</f>
        <v>Sela - Breng ons samen</v>
      </c>
    </row>
    <row r="931" spans="1:1" ht="13" x14ac:dyDescent="0.15">
      <c r="A931" s="4" t="str">
        <f ca="1">IFERROR(__xludf.DUMMYFUNCTION("""COMPUTED_VALUE"""),"Sela - Daar juicht een toon")</f>
        <v>Sela - Daar juicht een toon</v>
      </c>
    </row>
    <row r="932" spans="1:1" ht="13" x14ac:dyDescent="0.15">
      <c r="A932" s="4" t="str">
        <f ca="1">IFERROR(__xludf.DUMMYFUNCTION("""COMPUTED_VALUE"""),"Sela - Dageraad")</f>
        <v>Sela - Dageraad</v>
      </c>
    </row>
    <row r="933" spans="1:1" ht="13" x14ac:dyDescent="0.15">
      <c r="A933" s="4" t="str">
        <f ca="1">IFERROR(__xludf.DUMMYFUNCTION("""COMPUTED_VALUE"""),"Sela - Dank U Heer")</f>
        <v>Sela - Dank U Heer</v>
      </c>
    </row>
    <row r="934" spans="1:1" ht="13" x14ac:dyDescent="0.15">
      <c r="A934" s="4" t="str">
        <f ca="1">IFERROR(__xludf.DUMMYFUNCTION("""COMPUTED_VALUE"""),"Sela - Danklied")</f>
        <v>Sela - Danklied</v>
      </c>
    </row>
    <row r="935" spans="1:1" ht="13" x14ac:dyDescent="0.15">
      <c r="A935" s="4" t="str">
        <f ca="1">IFERROR(__xludf.DUMMYFUNCTION("""COMPUTED_VALUE"""),"Sela - De Gastheer nodigt")</f>
        <v>Sela - De Gastheer nodigt</v>
      </c>
    </row>
    <row r="936" spans="1:1" ht="13" x14ac:dyDescent="0.15">
      <c r="A936" s="4" t="str">
        <f ca="1">IFERROR(__xludf.DUMMYFUNCTION("""COMPUTED_VALUE"""),"Sela - De Naam van onze God")</f>
        <v>Sela - De Naam van onze God</v>
      </c>
    </row>
    <row r="937" spans="1:1" ht="13" x14ac:dyDescent="0.15">
      <c r="A937" s="4" t="str">
        <f ca="1">IFERROR(__xludf.DUMMYFUNCTION("""COMPUTED_VALUE"""),"Sela - De dag van de Heer")</f>
        <v>Sela - De dag van de Heer</v>
      </c>
    </row>
    <row r="938" spans="1:1" ht="13" x14ac:dyDescent="0.15">
      <c r="A938" s="4" t="str">
        <f ca="1">IFERROR(__xludf.DUMMYFUNCTION("""COMPUTED_VALUE"""),"Sela - De mensen die we missen")</f>
        <v>Sela - De mensen die we missen</v>
      </c>
    </row>
    <row r="939" spans="1:1" ht="13" x14ac:dyDescent="0.15">
      <c r="A939" s="4" t="str">
        <f ca="1">IFERROR(__xludf.DUMMYFUNCTION("""COMPUTED_VALUE"""),"Sela - De minsten van de mensen")</f>
        <v>Sela - De minsten van de mensen</v>
      </c>
    </row>
    <row r="940" spans="1:1" ht="13" x14ac:dyDescent="0.15">
      <c r="A940" s="4" t="str">
        <f ca="1">IFERROR(__xludf.DUMMYFUNCTION("""COMPUTED_VALUE"""),"Sela - De wind steekt op")</f>
        <v>Sela - De wind steekt op</v>
      </c>
    </row>
    <row r="941" spans="1:1" ht="13" x14ac:dyDescent="0.15">
      <c r="A941" s="4" t="str">
        <f ca="1">IFERROR(__xludf.DUMMYFUNCTION("""COMPUTED_VALUE"""),"Sela - Die Menschen, die wir vermissen")</f>
        <v>Sela - Die Menschen, die wir vermissen</v>
      </c>
    </row>
    <row r="942" spans="1:1" ht="13" x14ac:dyDescent="0.15">
      <c r="A942" s="4" t="str">
        <f ca="1">IFERROR(__xludf.DUMMYFUNCTION("""COMPUTED_VALUE"""),"Sela - Dit kind is onze koning")</f>
        <v>Sela - Dit kind is onze koning</v>
      </c>
    </row>
    <row r="943" spans="1:1" ht="13" x14ac:dyDescent="0.15">
      <c r="A943" s="4" t="str">
        <f ca="1">IFERROR(__xludf.DUMMYFUNCTION("""COMPUTED_VALUE"""),"Sela - Doop")</f>
        <v>Sela - Doop</v>
      </c>
    </row>
    <row r="944" spans="1:1" ht="13" x14ac:dyDescent="0.15">
      <c r="A944" s="4" t="str">
        <f ca="1">IFERROR(__xludf.DUMMYFUNCTION("""COMPUTED_VALUE"""),"Sela - Door Hem volbracht")</f>
        <v>Sela - Door Hem volbracht</v>
      </c>
    </row>
    <row r="945" spans="1:1" ht="13" x14ac:dyDescent="0.15">
      <c r="A945" s="4" t="str">
        <f ca="1">IFERROR(__xludf.DUMMYFUNCTION("""COMPUTED_VALUE"""),"Sela - Doxology")</f>
        <v>Sela - Doxology</v>
      </c>
    </row>
    <row r="946" spans="1:1" ht="13" x14ac:dyDescent="0.15">
      <c r="A946" s="4" t="str">
        <f ca="1">IFERROR(__xludf.DUMMYFUNCTION("""COMPUTED_VALUE"""),"Sela - Een kind is ons geboren")</f>
        <v>Sela - Een kind is ons geboren</v>
      </c>
    </row>
    <row r="947" spans="1:1" ht="13" x14ac:dyDescent="0.15">
      <c r="A947" s="4" t="str">
        <f ca="1">IFERROR(__xludf.DUMMYFUNCTION("""COMPUTED_VALUE"""),"Sela - Een toekomst vol van hoop")</f>
        <v>Sela - Een toekomst vol van hoop</v>
      </c>
    </row>
    <row r="948" spans="1:1" ht="13" x14ac:dyDescent="0.15">
      <c r="A948" s="4" t="str">
        <f ca="1">IFERROR(__xludf.DUMMYFUNCTION("""COMPUTED_VALUE"""),"Sela - Een weg naar U")</f>
        <v>Sela - Een weg naar U</v>
      </c>
    </row>
    <row r="949" spans="1:1" ht="13" x14ac:dyDescent="0.15">
      <c r="A949" s="4" t="str">
        <f ca="1">IFERROR(__xludf.DUMMYFUNCTION("""COMPUTED_VALUE"""),"Sela - Eindelijk hier")</f>
        <v>Sela - Eindelijk hier</v>
      </c>
    </row>
    <row r="950" spans="1:1" ht="13" x14ac:dyDescent="0.15">
      <c r="A950" s="4" t="str">
        <f ca="1">IFERROR(__xludf.DUMMYFUNCTION("""COMPUTED_VALUE"""),"Sela - Emmaüs")</f>
        <v>Sela - Emmaüs</v>
      </c>
    </row>
    <row r="951" spans="1:1" ht="13" x14ac:dyDescent="0.15">
      <c r="A951" s="4" t="str">
        <f ca="1">IFERROR(__xludf.DUMMYFUNCTION("""COMPUTED_VALUE"""),"Sela - Er is een roos ontloken")</f>
        <v>Sela - Er is een roos ontloken</v>
      </c>
    </row>
    <row r="952" spans="1:1" ht="13" x14ac:dyDescent="0.15">
      <c r="A952" s="4" t="str">
        <f ca="1">IFERROR(__xludf.DUMMYFUNCTION("""COMPUTED_VALUE"""),"Sela - Ere zij God")</f>
        <v>Sela - Ere zij God</v>
      </c>
    </row>
    <row r="953" spans="1:1" ht="13" x14ac:dyDescent="0.15">
      <c r="A953" s="4" t="str">
        <f ca="1">IFERROR(__xludf.DUMMYFUNCTION("""COMPUTED_VALUE"""),"Sela - Eén woord is genoeg")</f>
        <v>Sela - Eén woord is genoeg</v>
      </c>
    </row>
    <row r="954" spans="1:1" ht="13" x14ac:dyDescent="0.15">
      <c r="A954" s="4" t="str">
        <f ca="1">IFERROR(__xludf.DUMMYFUNCTION("""COMPUTED_VALUE"""),"Sela - Feestgedruis")</f>
        <v>Sela - Feestgedruis</v>
      </c>
    </row>
    <row r="955" spans="1:1" ht="13" x14ac:dyDescent="0.15">
      <c r="A955" s="4" t="str">
        <f ca="1">IFERROR(__xludf.DUMMYFUNCTION("""COMPUTED_VALUE"""),"Sela - Gaudete (Wij verheugen ons)")</f>
        <v>Sela - Gaudete (Wij verheugen ons)</v>
      </c>
    </row>
    <row r="956" spans="1:1" ht="13" x14ac:dyDescent="0.15">
      <c r="A956" s="4" t="str">
        <f ca="1">IFERROR(__xludf.DUMMYFUNCTION("""COMPUTED_VALUE"""),"Sela - Gebed om hulp")</f>
        <v>Sela - Gebed om hulp</v>
      </c>
    </row>
    <row r="957" spans="1:1" ht="13" x14ac:dyDescent="0.15">
      <c r="A957" s="4" t="str">
        <f ca="1">IFERROR(__xludf.DUMMYFUNCTION("""COMPUTED_VALUE"""),"Sela - Gebed om vergeving")</f>
        <v>Sela - Gebed om vergeving</v>
      </c>
    </row>
    <row r="958" spans="1:1" ht="13" x14ac:dyDescent="0.15">
      <c r="A958" s="4" t="str">
        <f ca="1">IFERROR(__xludf.DUMMYFUNCTION("""COMPUTED_VALUE"""),"Sela - Gebed om vrijheid")</f>
        <v>Sela - Gebed om vrijheid</v>
      </c>
    </row>
    <row r="959" spans="1:1" ht="13" x14ac:dyDescent="0.15">
      <c r="A959" s="4" t="str">
        <f ca="1">IFERROR(__xludf.DUMMYFUNCTION("""COMPUTED_VALUE"""),"Sela - Gebed om zegen")</f>
        <v>Sela - Gebed om zegen</v>
      </c>
    </row>
    <row r="960" spans="1:1" ht="13" x14ac:dyDescent="0.15">
      <c r="A960" s="4" t="str">
        <f ca="1">IFERROR(__xludf.DUMMYFUNCTION("""COMPUTED_VALUE"""),"Sela - Gebed voor de werkdag")</f>
        <v>Sela - Gebed voor de werkdag</v>
      </c>
    </row>
    <row r="961" spans="1:1" ht="13" x14ac:dyDescent="0.15">
      <c r="A961" s="4" t="str">
        <f ca="1">IFERROR(__xludf.DUMMYFUNCTION("""COMPUTED_VALUE"""),"Sela - Geef ons vrede")</f>
        <v>Sela - Geef ons vrede</v>
      </c>
    </row>
    <row r="962" spans="1:1" ht="13" x14ac:dyDescent="0.15">
      <c r="A962" s="4" t="str">
        <f ca="1">IFERROR(__xludf.DUMMYFUNCTION("""COMPUTED_VALUE"""),"Sela - Geef ons vrede (dona nobis)")</f>
        <v>Sela - Geef ons vrede (dona nobis)</v>
      </c>
    </row>
    <row r="963" spans="1:1" ht="13" x14ac:dyDescent="0.15">
      <c r="A963" s="4" t="str">
        <f ca="1">IFERROR(__xludf.DUMMYFUNCTION("""COMPUTED_VALUE"""),"Sela - Geef vrede")</f>
        <v>Sela - Geef vrede</v>
      </c>
    </row>
    <row r="964" spans="1:1" ht="13" x14ac:dyDescent="0.15">
      <c r="A964" s="4" t="str">
        <f ca="1">IFERROR(__xludf.DUMMYFUNCTION("""COMPUTED_VALUE"""),"Sela - Geen plek waar U niet bent")</f>
        <v>Sela - Geen plek waar U niet bent</v>
      </c>
    </row>
    <row r="965" spans="1:1" ht="13" x14ac:dyDescent="0.15">
      <c r="A965" s="4" t="str">
        <f ca="1">IFERROR(__xludf.DUMMYFUNCTION("""COMPUTED_VALUE"""),"Sela - Geen zorgen")</f>
        <v>Sela - Geen zorgen</v>
      </c>
    </row>
    <row r="966" spans="1:1" ht="13" x14ac:dyDescent="0.15">
      <c r="A966" s="4" t="str">
        <f ca="1">IFERROR(__xludf.DUMMYFUNCTION("""COMPUTED_VALUE"""),"Sela - Geest van waarheid en genade")</f>
        <v>Sela - Geest van waarheid en genade</v>
      </c>
    </row>
    <row r="967" spans="1:1" ht="13" x14ac:dyDescent="0.15">
      <c r="A967" s="4" t="str">
        <f ca="1">IFERROR(__xludf.DUMMYFUNCTION("""COMPUTED_VALUE"""),"Sela - Gehuld in de stilte")</f>
        <v>Sela - Gehuld in de stilte</v>
      </c>
    </row>
    <row r="968" spans="1:1" ht="13" x14ac:dyDescent="0.15">
      <c r="A968" s="4" t="str">
        <f ca="1">IFERROR(__xludf.DUMMYFUNCTION("""COMPUTED_VALUE"""),"Sela - Getsemane")</f>
        <v>Sela - Getsemane</v>
      </c>
    </row>
    <row r="969" spans="1:1" ht="13" x14ac:dyDescent="0.15">
      <c r="A969" s="4" t="str">
        <f ca="1">IFERROR(__xludf.DUMMYFUNCTION("""COMPUTED_VALUE"""),"Sela - Getuig")</f>
        <v>Sela - Getuig</v>
      </c>
    </row>
    <row r="970" spans="1:1" ht="13" x14ac:dyDescent="0.15">
      <c r="A970" s="4" t="str">
        <f ca="1">IFERROR(__xludf.DUMMYFUNCTION("""COMPUTED_VALUE"""),"Sela - Gezegend bent U, Heer")</f>
        <v>Sela - Gezegend bent U, Heer</v>
      </c>
    </row>
    <row r="971" spans="1:1" ht="13" x14ac:dyDescent="0.15">
      <c r="A971" s="4" t="str">
        <f ca="1">IFERROR(__xludf.DUMMYFUNCTION("""COMPUTED_VALUE"""),"Sela - Gezegend is de Vader")</f>
        <v>Sela - Gezegend is de Vader</v>
      </c>
    </row>
    <row r="972" spans="1:1" ht="13" x14ac:dyDescent="0.15">
      <c r="A972" s="4" t="str">
        <f ca="1">IFERROR(__xludf.DUMMYFUNCTION("""COMPUTED_VALUE"""),"Sela - Glorie aan God")</f>
        <v>Sela - Glorie aan God</v>
      </c>
    </row>
    <row r="973" spans="1:1" ht="13" x14ac:dyDescent="0.15">
      <c r="A973" s="4" t="str">
        <f ca="1">IFERROR(__xludf.DUMMYFUNCTION("""COMPUTED_VALUE"""),"Sela - Glorie heeft een Naam")</f>
        <v>Sela - Glorie heeft een Naam</v>
      </c>
    </row>
    <row r="974" spans="1:1" ht="13" x14ac:dyDescent="0.15">
      <c r="A974" s="4" t="str">
        <f ca="1">IFERROR(__xludf.DUMMYFUNCTION("""COMPUTED_VALUE"""),"Sela - God U bent mijn God")</f>
        <v>Sela - God U bent mijn God</v>
      </c>
    </row>
    <row r="975" spans="1:1" ht="13" x14ac:dyDescent="0.15">
      <c r="A975" s="4" t="str">
        <f ca="1">IFERROR(__xludf.DUMMYFUNCTION("""COMPUTED_VALUE"""),"Sela - God is in ons midden")</f>
        <v>Sela - God is in ons midden</v>
      </c>
    </row>
    <row r="976" spans="1:1" ht="13" x14ac:dyDescent="0.15">
      <c r="A976" s="4" t="str">
        <f ca="1">IFERROR(__xludf.DUMMYFUNCTION("""COMPUTED_VALUE"""),"Sela - God is overal")</f>
        <v>Sela - God is overal</v>
      </c>
    </row>
    <row r="977" spans="1:1" ht="13" x14ac:dyDescent="0.15">
      <c r="A977" s="4" t="str">
        <f ca="1">IFERROR(__xludf.DUMMYFUNCTION("""COMPUTED_VALUE"""),"Sela - God keert alles om")</f>
        <v>Sela - God keert alles om</v>
      </c>
    </row>
    <row r="978" spans="1:1" ht="13" x14ac:dyDescent="0.15">
      <c r="A978" s="4" t="str">
        <f ca="1">IFERROR(__xludf.DUMMYFUNCTION("""COMPUTED_VALUE"""),"Sela - God roept ons")</f>
        <v>Sela - God roept ons</v>
      </c>
    </row>
    <row r="979" spans="1:1" ht="13" x14ac:dyDescent="0.15">
      <c r="A979" s="4" t="str">
        <f ca="1">IFERROR(__xludf.DUMMYFUNCTION("""COMPUTED_VALUE"""),"Sela - God van leven")</f>
        <v>Sela - God van leven</v>
      </c>
    </row>
    <row r="980" spans="1:1" ht="13" x14ac:dyDescent="0.15">
      <c r="A980" s="4" t="str">
        <f ca="1">IFERROR(__xludf.DUMMYFUNCTION("""COMPUTED_VALUE"""),"Sela - God zal om ons juichen")</f>
        <v>Sela - God zal om ons juichen</v>
      </c>
    </row>
    <row r="981" spans="1:1" ht="13" x14ac:dyDescent="0.15">
      <c r="A981" s="4" t="str">
        <f ca="1">IFERROR(__xludf.DUMMYFUNCTION("""COMPUTED_VALUE"""),"Sela - God zal voor ons zorgen")</f>
        <v>Sela - God zal voor ons zorgen</v>
      </c>
    </row>
    <row r="982" spans="1:1" ht="13" x14ac:dyDescent="0.15">
      <c r="A982" s="4" t="str">
        <f ca="1">IFERROR(__xludf.DUMMYFUNCTION("""COMPUTED_VALUE"""),"Sela - Gods verhaal gaat door")</f>
        <v>Sela - Gods verhaal gaat door</v>
      </c>
    </row>
    <row r="983" spans="1:1" ht="13" x14ac:dyDescent="0.15">
      <c r="A983" s="4" t="str">
        <f ca="1">IFERROR(__xludf.DUMMYFUNCTION("""COMPUTED_VALUE"""),"Sela - Gods zegen voor jou")</f>
        <v>Sela - Gods zegen voor jou</v>
      </c>
    </row>
    <row r="984" spans="1:1" ht="13" x14ac:dyDescent="0.15">
      <c r="A984" s="4" t="str">
        <f ca="1">IFERROR(__xludf.DUMMYFUNCTION("""COMPUTED_VALUE"""),"Sela - Goed om hier te zijn")</f>
        <v>Sela - Goed om hier te zijn</v>
      </c>
    </row>
    <row r="985" spans="1:1" ht="13" x14ac:dyDescent="0.15">
      <c r="A985" s="4" t="str">
        <f ca="1">IFERROR(__xludf.DUMMYFUNCTION("""COMPUTED_VALUE"""),"Sela - Halleluja eeuwig dank en ere")</f>
        <v>Sela - Halleluja eeuwig dank en ere</v>
      </c>
    </row>
    <row r="986" spans="1:1" ht="13" x14ac:dyDescent="0.15">
      <c r="A986" s="4" t="str">
        <f ca="1">IFERROR(__xludf.DUMMYFUNCTION("""COMPUTED_VALUE"""),"Sela - Halleluja voor de eeuwige")</f>
        <v>Sela - Halleluja voor de eeuwige</v>
      </c>
    </row>
    <row r="987" spans="1:1" ht="13" x14ac:dyDescent="0.15">
      <c r="A987" s="4" t="str">
        <f ca="1">IFERROR(__xludf.DUMMYFUNCTION("""COMPUTED_VALUE"""),"Sela - Hard geslagen vastgenageld")</f>
        <v>Sela - Hard geslagen vastgenageld</v>
      </c>
    </row>
    <row r="988" spans="1:1" ht="13" x14ac:dyDescent="0.15">
      <c r="A988" s="4" t="str">
        <f ca="1">IFERROR(__xludf.DUMMYFUNCTION("""COMPUTED_VALUE"""),"Sela - Heel mijn hart")</f>
        <v>Sela - Heel mijn hart</v>
      </c>
    </row>
    <row r="989" spans="1:1" ht="13" x14ac:dyDescent="0.15">
      <c r="A989" s="4" t="str">
        <f ca="1">IFERROR(__xludf.DUMMYFUNCTION("""COMPUTED_VALUE"""),"Sela - Heel uw koninkrijk")</f>
        <v>Sela - Heel uw koninkrijk</v>
      </c>
    </row>
    <row r="990" spans="1:1" ht="13" x14ac:dyDescent="0.15">
      <c r="A990" s="4" t="str">
        <f ca="1">IFERROR(__xludf.DUMMYFUNCTION("""COMPUTED_VALUE"""),"Sela - Heer ontferm U over ons")</f>
        <v>Sela - Heer ontferm U over ons</v>
      </c>
    </row>
    <row r="991" spans="1:1" ht="13" x14ac:dyDescent="0.15">
      <c r="A991" s="4" t="str">
        <f ca="1">IFERROR(__xludf.DUMMYFUNCTION("""COMPUTED_VALUE"""),"Sela - Heer ontferm U over ons")</f>
        <v>Sela - Heer ontferm U over ons</v>
      </c>
    </row>
    <row r="992" spans="1:1" ht="13" x14ac:dyDescent="0.15">
      <c r="A992" s="4" t="str">
        <f ca="1">IFERROR(__xludf.DUMMYFUNCTION("""COMPUTED_VALUE"""),"Sela - Heer wees om mij heen")</f>
        <v>Sela - Heer wees om mij heen</v>
      </c>
    </row>
    <row r="993" spans="1:1" ht="13" x14ac:dyDescent="0.15">
      <c r="A993" s="4" t="str">
        <f ca="1">IFERROR(__xludf.DUMMYFUNCTION("""COMPUTED_VALUE"""),"Sela - Heer wijs mij uw weg")</f>
        <v>Sela - Heer wijs mij uw weg</v>
      </c>
    </row>
    <row r="994" spans="1:1" ht="13" x14ac:dyDescent="0.15">
      <c r="A994" s="4" t="str">
        <f ca="1">IFERROR(__xludf.DUMMYFUNCTION("""COMPUTED_VALUE"""),"Sela - Heer, U bent")</f>
        <v>Sela - Heer, U bent</v>
      </c>
    </row>
    <row r="995" spans="1:1" ht="13" x14ac:dyDescent="0.15">
      <c r="A995" s="4" t="str">
        <f ca="1">IFERROR(__xludf.DUMMYFUNCTION("""COMPUTED_VALUE"""),"Sela - Heer, we kijken omhoog")</f>
        <v>Sela - Heer, we kijken omhoog</v>
      </c>
    </row>
    <row r="996" spans="1:1" ht="13" x14ac:dyDescent="0.15">
      <c r="A996" s="4" t="str">
        <f ca="1">IFERROR(__xludf.DUMMYFUNCTION("""COMPUTED_VALUE"""),"Sela - Heilige grond")</f>
        <v>Sela - Heilige grond</v>
      </c>
    </row>
    <row r="997" spans="1:1" ht="13" x14ac:dyDescent="0.15">
      <c r="A997" s="4" t="str">
        <f ca="1">IFERROR(__xludf.DUMMYFUNCTION("""COMPUTED_VALUE"""),"Sela - Hemelse gave")</f>
        <v>Sela - Hemelse gave</v>
      </c>
    </row>
    <row r="998" spans="1:1" ht="13" x14ac:dyDescent="0.15">
      <c r="A998" s="4" t="str">
        <f ca="1">IFERROR(__xludf.DUMMYFUNCTION("""COMPUTED_VALUE"""),"Sela - Het Woord van God")</f>
        <v>Sela - Het Woord van God</v>
      </c>
    </row>
    <row r="999" spans="1:1" ht="13" x14ac:dyDescent="0.15">
      <c r="A999" s="4" t="str">
        <f ca="1">IFERROR(__xludf.DUMMYFUNCTION("""COMPUTED_VALUE"""),"Sela - Het mooiste lied")</f>
        <v>Sela - Het mooiste lied</v>
      </c>
    </row>
    <row r="1000" spans="1:1" ht="13" x14ac:dyDescent="0.15">
      <c r="A1000" s="4" t="str">
        <f ca="1">IFERROR(__xludf.DUMMYFUNCTION("""COMPUTED_VALUE"""),"Sela - Hier ben ik Heer")</f>
        <v>Sela - Hier ben ik Heer</v>
      </c>
    </row>
    <row r="1001" spans="1:1" ht="13" x14ac:dyDescent="0.15">
      <c r="A1001" s="4" t="str">
        <f ca="1">IFERROR(__xludf.DUMMYFUNCTION("""COMPUTED_VALUE"""),"Sela - Hier is rust")</f>
        <v>Sela - Hier is rust</v>
      </c>
    </row>
    <row r="1002" spans="1:1" ht="13" x14ac:dyDescent="0.15">
      <c r="A1002" s="4" t="str">
        <f ca="1">IFERROR(__xludf.DUMMYFUNCTION("""COMPUTED_VALUE"""),"Sela - Hij is Koning")</f>
        <v>Sela - Hij is Koning</v>
      </c>
    </row>
    <row r="1003" spans="1:1" ht="13" x14ac:dyDescent="0.15">
      <c r="A1003" s="4" t="str">
        <f ca="1">IFERROR(__xludf.DUMMYFUNCTION("""COMPUTED_VALUE"""),"Sela - Hoe machtig is uw naam")</f>
        <v>Sela - Hoe machtig is uw naam</v>
      </c>
    </row>
    <row r="1004" spans="1:1" ht="13" x14ac:dyDescent="0.15">
      <c r="A1004" s="4" t="str">
        <f ca="1">IFERROR(__xludf.DUMMYFUNCTION("""COMPUTED_VALUE"""),"Sela - Hoor de engelen zingen d'eer")</f>
        <v>Sela - Hoor de engelen zingen d'eer</v>
      </c>
    </row>
    <row r="1005" spans="1:1" ht="13" x14ac:dyDescent="0.15">
      <c r="A1005" s="4" t="str">
        <f ca="1">IFERROR(__xludf.DUMMYFUNCTION("""COMPUTED_VALUE"""),"Sela - Hoor mijn gebed")</f>
        <v>Sela - Hoor mijn gebed</v>
      </c>
    </row>
    <row r="1006" spans="1:1" ht="13" x14ac:dyDescent="0.15">
      <c r="A1006" s="4" t="str">
        <f ca="1">IFERROR(__xludf.DUMMYFUNCTION("""COMPUTED_VALUE"""),"Sela - Houd mij vast")</f>
        <v>Sela - Houd mij vast</v>
      </c>
    </row>
    <row r="1007" spans="1:1" ht="13" x14ac:dyDescent="0.15">
      <c r="A1007" s="4" t="str">
        <f ca="1">IFERROR(__xludf.DUMMYFUNCTION("""COMPUTED_VALUE"""),"Sela - Huis van vrede")</f>
        <v>Sela - Huis van vrede</v>
      </c>
    </row>
    <row r="1008" spans="1:1" ht="13" x14ac:dyDescent="0.15">
      <c r="A1008" s="4" t="str">
        <f ca="1">IFERROR(__xludf.DUMMYFUNCTION("""COMPUTED_VALUE"""),"Sela - I will be there")</f>
        <v>Sela - I will be there</v>
      </c>
    </row>
    <row r="1009" spans="1:1" ht="13" x14ac:dyDescent="0.15">
      <c r="A1009" s="4" t="str">
        <f ca="1">IFERROR(__xludf.DUMMYFUNCTION("""COMPUTED_VALUE"""),"Sela - Iedere nacht")</f>
        <v>Sela - Iedere nacht</v>
      </c>
    </row>
    <row r="1010" spans="1:1" ht="13" x14ac:dyDescent="0.15">
      <c r="A1010" s="4" t="str">
        <f ca="1">IFERROR(__xludf.DUMMYFUNCTION("""COMPUTED_VALUE"""),"Sela - Ik ben")</f>
        <v>Sela - Ik ben</v>
      </c>
    </row>
    <row r="1011" spans="1:1" ht="13" x14ac:dyDescent="0.15">
      <c r="A1011" s="4" t="str">
        <f ca="1">IFERROR(__xludf.DUMMYFUNCTION("""COMPUTED_VALUE"""),"Sela - Ik leef")</f>
        <v>Sela - Ik leef</v>
      </c>
    </row>
    <row r="1012" spans="1:1" ht="13" x14ac:dyDescent="0.15">
      <c r="A1012" s="4" t="str">
        <f ca="1">IFERROR(__xludf.DUMMYFUNCTION("""COMPUTED_VALUE"""),"Sela - Ik wil komen en knielen")</f>
        <v>Sela - Ik wil komen en knielen</v>
      </c>
    </row>
    <row r="1013" spans="1:1" ht="13" x14ac:dyDescent="0.15">
      <c r="A1013" s="4" t="str">
        <f ca="1">IFERROR(__xludf.DUMMYFUNCTION("""COMPUTED_VALUE"""),"Sela - Ik zal er zijn")</f>
        <v>Sela - Ik zal er zijn</v>
      </c>
    </row>
    <row r="1014" spans="1:1" ht="13" x14ac:dyDescent="0.15">
      <c r="A1014" s="4" t="str">
        <f ca="1">IFERROR(__xludf.DUMMYFUNCTION("""COMPUTED_VALUE"""),"Sela - In Jezus naam")</f>
        <v>Sela - In Jezus naam</v>
      </c>
    </row>
    <row r="1015" spans="1:1" ht="13" x14ac:dyDescent="0.15">
      <c r="A1015" s="4" t="str">
        <f ca="1">IFERROR(__xludf.DUMMYFUNCTION("""COMPUTED_VALUE"""),"Sela - In alles")</f>
        <v>Sela - In alles</v>
      </c>
    </row>
    <row r="1016" spans="1:1" ht="13" x14ac:dyDescent="0.15">
      <c r="A1016" s="4" t="str">
        <f ca="1">IFERROR(__xludf.DUMMYFUNCTION("""COMPUTED_VALUE"""),"Sela - In de morgen")</f>
        <v>Sela - In de morgen</v>
      </c>
    </row>
    <row r="1017" spans="1:1" ht="13" x14ac:dyDescent="0.15">
      <c r="A1017" s="4" t="str">
        <f ca="1">IFERROR(__xludf.DUMMYFUNCTION("""COMPUTED_VALUE"""),"Sela - In deze stilte")</f>
        <v>Sela - In deze stilte</v>
      </c>
    </row>
    <row r="1018" spans="1:1" ht="13" x14ac:dyDescent="0.15">
      <c r="A1018" s="4" t="str">
        <f ca="1">IFERROR(__xludf.DUMMYFUNCTION("""COMPUTED_VALUE"""),"Sela - In het licht")</f>
        <v>Sela - In het licht</v>
      </c>
    </row>
    <row r="1019" spans="1:1" ht="13" x14ac:dyDescent="0.15">
      <c r="A1019" s="4" t="str">
        <f ca="1">IFERROR(__xludf.DUMMYFUNCTION("""COMPUTED_VALUE"""),"Sela - In ons hart geboren")</f>
        <v>Sela - In ons hart geboren</v>
      </c>
    </row>
    <row r="1020" spans="1:1" ht="13" x14ac:dyDescent="0.15">
      <c r="A1020" s="4" t="str">
        <f ca="1">IFERROR(__xludf.DUMMYFUNCTION("""COMPUTED_VALUE"""),"Sela - J")</f>
        <v>Sela - J</v>
      </c>
    </row>
    <row r="1021" spans="1:1" ht="13" x14ac:dyDescent="0.15">
      <c r="A1021" s="4" t="str">
        <f ca="1">IFERROR(__xludf.DUMMYFUNCTION("""COMPUTED_VALUE"""),"Sela - Jezus alleen / Hij is de rots")</f>
        <v>Sela - Jezus alleen / Hij is de rots</v>
      </c>
    </row>
    <row r="1022" spans="1:1" ht="13" x14ac:dyDescent="0.15">
      <c r="A1022" s="4" t="str">
        <f ca="1">IFERROR(__xludf.DUMMYFUNCTION("""COMPUTED_VALUE"""),"Sela - Jezus is Heer")</f>
        <v>Sela - Jezus is Heer</v>
      </c>
    </row>
    <row r="1023" spans="1:1" ht="13" x14ac:dyDescent="0.15">
      <c r="A1023" s="4" t="str">
        <f ca="1">IFERROR(__xludf.DUMMYFUNCTION("""COMPUTED_VALUE"""),"Sela - Jezus leidt Zijn kerk")</f>
        <v>Sela - Jezus leidt Zijn kerk</v>
      </c>
    </row>
    <row r="1024" spans="1:1" ht="13" x14ac:dyDescent="0.15">
      <c r="A1024" s="4" t="str">
        <f ca="1">IFERROR(__xludf.DUMMYFUNCTION("""COMPUTED_VALUE"""),"Sela - Jezus liefde voor mij")</f>
        <v>Sela - Jezus liefde voor mij</v>
      </c>
    </row>
    <row r="1025" spans="1:1" ht="13" x14ac:dyDescent="0.15">
      <c r="A1025" s="4" t="str">
        <f ca="1">IFERROR(__xludf.DUMMYFUNCTION("""COMPUTED_VALUE"""),"Sela - Jezus, U bent bij ons")</f>
        <v>Sela - Jezus, U bent bij ons</v>
      </c>
    </row>
    <row r="1026" spans="1:1" ht="13" x14ac:dyDescent="0.15">
      <c r="A1026" s="4" t="str">
        <f ca="1">IFERROR(__xludf.DUMMYFUNCTION("""COMPUTED_VALUE"""),"Sela - Juich, hosanna")</f>
        <v>Sela - Juich, hosanna</v>
      </c>
    </row>
    <row r="1027" spans="1:1" ht="13" x14ac:dyDescent="0.15">
      <c r="A1027" s="4" t="str">
        <f ca="1">IFERROR(__xludf.DUMMYFUNCTION("""COMPUTED_VALUE"""),"Sela - Juicht / Hij is verheerlijkt")</f>
        <v>Sela - Juicht / Hij is verheerlijkt</v>
      </c>
    </row>
    <row r="1028" spans="1:1" ht="13" x14ac:dyDescent="0.15">
      <c r="A1028" s="4" t="str">
        <f ca="1">IFERROR(__xludf.DUMMYFUNCTION("""COMPUTED_VALUE"""),"Sela - Ken mijn hart")</f>
        <v>Sela - Ken mijn hart</v>
      </c>
    </row>
    <row r="1029" spans="1:1" ht="13" x14ac:dyDescent="0.15">
      <c r="A1029" s="4" t="str">
        <f ca="1">IFERROR(__xludf.DUMMYFUNCTION("""COMPUTED_VALUE"""),"Sela - Kerstnacht boven Bethlehem")</f>
        <v>Sela - Kerstnacht boven Bethlehem</v>
      </c>
    </row>
    <row r="1030" spans="1:1" ht="13" x14ac:dyDescent="0.15">
      <c r="A1030" s="4" t="str">
        <f ca="1">IFERROR(__xludf.DUMMYFUNCTION("""COMPUTED_VALUE"""),"Sela - Klaaglied")</f>
        <v>Sela - Klaaglied</v>
      </c>
    </row>
    <row r="1031" spans="1:1" ht="13" x14ac:dyDescent="0.15">
      <c r="A1031" s="4" t="str">
        <f ca="1">IFERROR(__xludf.DUMMYFUNCTION("""COMPUTED_VALUE"""),"Sela - Klein Gloria (Gloria Patri)")</f>
        <v>Sela - Klein Gloria (Gloria Patri)</v>
      </c>
    </row>
    <row r="1032" spans="1:1" ht="13" x14ac:dyDescent="0.15">
      <c r="A1032" s="4" t="str">
        <f ca="1">IFERROR(__xludf.DUMMYFUNCTION("""COMPUTED_VALUE"""),"Sela - Kom Heilige Geest")</f>
        <v>Sela - Kom Heilige Geest</v>
      </c>
    </row>
    <row r="1033" spans="1:1" ht="13" x14ac:dyDescent="0.15">
      <c r="A1033" s="4" t="str">
        <f ca="1">IFERROR(__xludf.DUMMYFUNCTION("""COMPUTED_VALUE"""),"Sela - Kom met vrede")</f>
        <v>Sela - Kom met vrede</v>
      </c>
    </row>
    <row r="1034" spans="1:1" ht="13" x14ac:dyDescent="0.15">
      <c r="A1034" s="4" t="str">
        <f ca="1">IFERROR(__xludf.DUMMYFUNCTION("""COMPUTED_VALUE"""),"Sela - Kom tot Hem")</f>
        <v>Sela - Kom tot Hem</v>
      </c>
    </row>
    <row r="1035" spans="1:1" ht="13" x14ac:dyDescent="0.15">
      <c r="A1035" s="4" t="str">
        <f ca="1">IFERROR(__xludf.DUMMYFUNCTION("""COMPUTED_VALUE"""),"Sela - Kom tot ons, Heer (adventsgebed)")</f>
        <v>Sela - Kom tot ons, Heer (adventsgebed)</v>
      </c>
    </row>
    <row r="1036" spans="1:1" ht="13" x14ac:dyDescent="0.15">
      <c r="A1036" s="4" t="str">
        <f ca="1">IFERROR(__xludf.DUMMYFUNCTION("""COMPUTED_VALUE"""),"Sela - Kom tot ons, de wereld wacht")</f>
        <v>Sela - Kom tot ons, de wereld wacht</v>
      </c>
    </row>
    <row r="1037" spans="1:1" ht="13" x14ac:dyDescent="0.15">
      <c r="A1037" s="4" t="str">
        <f ca="1">IFERROR(__xludf.DUMMYFUNCTION("""COMPUTED_VALUE"""),"Sela - Kom, vier het feest met mij")</f>
        <v>Sela - Kom, vier het feest met mij</v>
      </c>
    </row>
    <row r="1038" spans="1:1" ht="13" x14ac:dyDescent="0.15">
      <c r="A1038" s="4" t="str">
        <f ca="1">IFERROR(__xludf.DUMMYFUNCTION("""COMPUTED_VALUE"""),"Sela - Komt allen tezamen")</f>
        <v>Sela - Komt allen tezamen</v>
      </c>
    </row>
    <row r="1039" spans="1:1" ht="13" x14ac:dyDescent="0.15">
      <c r="A1039" s="4" t="str">
        <f ca="1">IFERROR(__xludf.DUMMYFUNCTION("""COMPUTED_VALUE"""),"Sela - Kyrie")</f>
        <v>Sela - Kyrie</v>
      </c>
    </row>
    <row r="1040" spans="1:1" ht="13" x14ac:dyDescent="0.15">
      <c r="A1040" s="4" t="str">
        <f ca="1">IFERROR(__xludf.DUMMYFUNCTION("""COMPUTED_VALUE"""),"Sela - Kyrie Eleison")</f>
        <v>Sela - Kyrie Eleison</v>
      </c>
    </row>
    <row r="1041" spans="1:1" ht="13" x14ac:dyDescent="0.15">
      <c r="A1041" s="4" t="str">
        <f ca="1">IFERROR(__xludf.DUMMYFUNCTION("""COMPUTED_VALUE"""),"Sela - Laat ons samen een zijn")</f>
        <v>Sela - Laat ons samen een zijn</v>
      </c>
    </row>
    <row r="1042" spans="1:1" ht="13" x14ac:dyDescent="0.15">
      <c r="A1042" s="4" t="str">
        <f ca="1">IFERROR(__xludf.DUMMYFUNCTION("""COMPUTED_VALUE"""),"Sela - Leer mij geven")</f>
        <v>Sela - Leer mij geven</v>
      </c>
    </row>
    <row r="1043" spans="1:1" ht="13" x14ac:dyDescent="0.15">
      <c r="A1043" s="4" t="str">
        <f ca="1">IFERROR(__xludf.DUMMYFUNCTION("""COMPUTED_VALUE"""),"Sela - Leer mij, o Heer, uw lijden")</f>
        <v>Sela - Leer mij, o Heer, uw lijden</v>
      </c>
    </row>
    <row r="1044" spans="1:1" ht="13" x14ac:dyDescent="0.15">
      <c r="A1044" s="4" t="str">
        <f ca="1">IFERROR(__xludf.DUMMYFUNCTION("""COMPUTED_VALUE"""),"Sela - Liefste Jezus")</f>
        <v>Sela - Liefste Jezus</v>
      </c>
    </row>
    <row r="1045" spans="1:1" ht="13" x14ac:dyDescent="0.15">
      <c r="A1045" s="4" t="str">
        <f ca="1">IFERROR(__xludf.DUMMYFUNCTION("""COMPUTED_VALUE"""),"Sela - Lof aanbidding")</f>
        <v>Sela - Lof aanbidding</v>
      </c>
    </row>
    <row r="1046" spans="1:1" ht="13" x14ac:dyDescent="0.15">
      <c r="A1046" s="4" t="str">
        <f ca="1">IFERROR(__xludf.DUMMYFUNCTION("""COMPUTED_VALUE"""),"Sela - Machtig Strijder")</f>
        <v>Sela - Machtig Strijder</v>
      </c>
    </row>
    <row r="1047" spans="1:1" ht="13" x14ac:dyDescent="0.15">
      <c r="A1047" s="4" t="str">
        <f ca="1">IFERROR(__xludf.DUMMYFUNCTION("""COMPUTED_VALUE"""),"Sela - Machtig wonder")</f>
        <v>Sela - Machtig wonder</v>
      </c>
    </row>
    <row r="1048" spans="1:1" ht="13" x14ac:dyDescent="0.15">
      <c r="A1048" s="4" t="str">
        <f ca="1">IFERROR(__xludf.DUMMYFUNCTION("""COMPUTED_VALUE"""),"Sela - Mag ik jou tot zegen zijn")</f>
        <v>Sela - Mag ik jou tot zegen zijn</v>
      </c>
    </row>
    <row r="1049" spans="1:1" ht="13" x14ac:dyDescent="0.15">
      <c r="A1049" s="4" t="str">
        <f ca="1">IFERROR(__xludf.DUMMYFUNCTION("""COMPUTED_VALUE"""),"Sela - Magnificat")</f>
        <v>Sela - Magnificat</v>
      </c>
    </row>
    <row r="1050" spans="1:1" ht="13" x14ac:dyDescent="0.15">
      <c r="A1050" s="4" t="str">
        <f ca="1">IFERROR(__xludf.DUMMYFUNCTION("""COMPUTED_VALUE"""),"Sela - Man van smarten")</f>
        <v>Sela - Man van smarten</v>
      </c>
    </row>
    <row r="1051" spans="1:1" ht="13" x14ac:dyDescent="0.15">
      <c r="A1051" s="4" t="str">
        <f ca="1">IFERROR(__xludf.DUMMYFUNCTION("""COMPUTED_VALUE"""),"Sela - Maranatha")</f>
        <v>Sela - Maranatha</v>
      </c>
    </row>
    <row r="1052" spans="1:1" ht="13" x14ac:dyDescent="0.15">
      <c r="A1052" s="4" t="str">
        <f ca="1">IFERROR(__xludf.DUMMYFUNCTION("""COMPUTED_VALUE"""),"Sela - Maria, had je door")</f>
        <v>Sela - Maria, had je door</v>
      </c>
    </row>
    <row r="1053" spans="1:1" ht="13" x14ac:dyDescent="0.15">
      <c r="A1053" s="4" t="str">
        <f ca="1">IFERROR(__xludf.DUMMYFUNCTION("""COMPUTED_VALUE"""),"Sela - Met U alleen")</f>
        <v>Sela - Met U alleen</v>
      </c>
    </row>
    <row r="1054" spans="1:1" ht="13" x14ac:dyDescent="0.15">
      <c r="A1054" s="4" t="str">
        <f ca="1">IFERROR(__xludf.DUMMYFUNCTION("""COMPUTED_VALUE"""),"Sela - Met een hart en stem")</f>
        <v>Sela - Met een hart en stem</v>
      </c>
    </row>
    <row r="1055" spans="1:1" ht="13" x14ac:dyDescent="0.15">
      <c r="A1055" s="4" t="str">
        <f ca="1">IFERROR(__xludf.DUMMYFUNCTION("""COMPUTED_VALUE"""),"Sela - Mijn Herder")</f>
        <v>Sela - Mijn Herder</v>
      </c>
    </row>
    <row r="1056" spans="1:1" ht="13" x14ac:dyDescent="0.15">
      <c r="A1056" s="4" t="str">
        <f ca="1">IFERROR(__xludf.DUMMYFUNCTION("""COMPUTED_VALUE"""),"Sela - Mijn toevlucht (Psalm 91)")</f>
        <v>Sela - Mijn toevlucht (Psalm 91)</v>
      </c>
    </row>
    <row r="1057" spans="1:1" ht="13" x14ac:dyDescent="0.15">
      <c r="A1057" s="4" t="str">
        <f ca="1">IFERROR(__xludf.DUMMYFUNCTION("""COMPUTED_VALUE"""),"Sela - Moeders van Bethlehem")</f>
        <v>Sela - Moeders van Bethlehem</v>
      </c>
    </row>
    <row r="1058" spans="1:1" ht="13" x14ac:dyDescent="0.15">
      <c r="A1058" s="4" t="str">
        <f ca="1">IFERROR(__xludf.DUMMYFUNCTION("""COMPUTED_VALUE"""),"Sela - Naar het licht toe")</f>
        <v>Sela - Naar het licht toe</v>
      </c>
    </row>
    <row r="1059" spans="1:1" ht="13" x14ac:dyDescent="0.15">
      <c r="A1059" s="4" t="str">
        <f ca="1">IFERROR(__xludf.DUMMYFUNCTION("""COMPUTED_VALUE"""),"Sela - Nu laat U mij in vrede gaan")</f>
        <v>Sela - Nu laat U mij in vrede gaan</v>
      </c>
    </row>
    <row r="1060" spans="1:1" ht="13" x14ac:dyDescent="0.15">
      <c r="A1060" s="4" t="str">
        <f ca="1">IFERROR(__xludf.DUMMYFUNCTION("""COMPUTED_VALUE"""),"Sela - O kindeke klein")</f>
        <v>Sela - O kindeke klein</v>
      </c>
    </row>
    <row r="1061" spans="1:1" ht="13" x14ac:dyDescent="0.15">
      <c r="A1061" s="4" t="str">
        <f ca="1">IFERROR(__xludf.DUMMYFUNCTION("""COMPUTED_VALUE"""),"Sela - O kom nu en jubel")</f>
        <v>Sela - O kom nu en jubel</v>
      </c>
    </row>
    <row r="1062" spans="1:1" ht="13" x14ac:dyDescent="0.15">
      <c r="A1062" s="4" t="str">
        <f ca="1">IFERROR(__xludf.DUMMYFUNCTION("""COMPUTED_VALUE"""),"Sela - O kom, o kom, Immanuël")</f>
        <v>Sela - O kom, o kom, Immanuël</v>
      </c>
    </row>
    <row r="1063" spans="1:1" ht="13" x14ac:dyDescent="0.15">
      <c r="A1063" s="4" t="str">
        <f ca="1">IFERROR(__xludf.DUMMYFUNCTION("""COMPUTED_VALUE"""),"Sela - O mensen, kom")</f>
        <v>Sela - O mensen, kom</v>
      </c>
    </row>
    <row r="1064" spans="1:1" ht="13" x14ac:dyDescent="0.15">
      <c r="A1064" s="4" t="str">
        <f ca="1">IFERROR(__xludf.DUMMYFUNCTION("""COMPUTED_VALUE"""),"Sela - One church")</f>
        <v>Sela - One church</v>
      </c>
    </row>
    <row r="1065" spans="1:1" ht="13" x14ac:dyDescent="0.15">
      <c r="A1065" s="4" t="str">
        <f ca="1">IFERROR(__xludf.DUMMYFUNCTION("""COMPUTED_VALUE"""),"Sela - Op U, mijn Heiland blijf ik hopen")</f>
        <v>Sela - Op U, mijn Heiland blijf ik hopen</v>
      </c>
    </row>
    <row r="1066" spans="1:1" ht="13" x14ac:dyDescent="0.15">
      <c r="A1066" s="4" t="str">
        <f ca="1">IFERROR(__xludf.DUMMYFUNCTION("""COMPUTED_VALUE"""),"Sela - Opgestaan")</f>
        <v>Sela - Opgestaan</v>
      </c>
    </row>
    <row r="1067" spans="1:1" ht="13" x14ac:dyDescent="0.15">
      <c r="A1067" s="4" t="str">
        <f ca="1">IFERROR(__xludf.DUMMYFUNCTION("""COMPUTED_VALUE"""),"Sela - Ouverture Thuis")</f>
        <v>Sela - Ouverture Thuis</v>
      </c>
    </row>
    <row r="1068" spans="1:1" ht="13" x14ac:dyDescent="0.15">
      <c r="A1068" s="4" t="str">
        <f ca="1">IFERROR(__xludf.DUMMYFUNCTION("""COMPUTED_VALUE"""),"Sela - Pad van de liefde")</f>
        <v>Sela - Pad van de liefde</v>
      </c>
    </row>
    <row r="1069" spans="1:1" ht="13" x14ac:dyDescent="0.15">
      <c r="A1069" s="4" t="str">
        <f ca="1">IFERROR(__xludf.DUMMYFUNCTION("""COMPUTED_VALUE"""),"Sela - Prelude")</f>
        <v>Sela - Prelude</v>
      </c>
    </row>
    <row r="1070" spans="1:1" ht="13" x14ac:dyDescent="0.15">
      <c r="A1070" s="4" t="str">
        <f ca="1">IFERROR(__xludf.DUMMYFUNCTION("""COMPUTED_VALUE"""),"Sela - Preludium")</f>
        <v>Sela - Preludium</v>
      </c>
    </row>
    <row r="1071" spans="1:1" ht="13" x14ac:dyDescent="0.15">
      <c r="A1071" s="4" t="str">
        <f ca="1">IFERROR(__xludf.DUMMYFUNCTION("""COMPUTED_VALUE"""),"Sela - Psalm 84")</f>
        <v>Sela - Psalm 84</v>
      </c>
    </row>
    <row r="1072" spans="1:1" ht="13" x14ac:dyDescent="0.15">
      <c r="A1072" s="4" t="str">
        <f ca="1">IFERROR(__xludf.DUMMYFUNCTION("""COMPUTED_VALUE"""),"Sela - Psalm 96")</f>
        <v>Sela - Psalm 96</v>
      </c>
    </row>
    <row r="1073" spans="1:1" ht="13" x14ac:dyDescent="0.15">
      <c r="A1073" s="4" t="str">
        <f ca="1">IFERROR(__xludf.DUMMYFUNCTION("""COMPUTED_VALUE"""),"Sela - Psalm 98")</f>
        <v>Sela - Psalm 98</v>
      </c>
    </row>
    <row r="1074" spans="1:1" ht="13" x14ac:dyDescent="0.15">
      <c r="A1074" s="4" t="str">
        <f ca="1">IFERROR(__xludf.DUMMYFUNCTION("""COMPUTED_VALUE"""),"Sela - Raak mijn wonden aan")</f>
        <v>Sela - Raak mijn wonden aan</v>
      </c>
    </row>
    <row r="1075" spans="1:1" ht="13" x14ac:dyDescent="0.15">
      <c r="A1075" s="4" t="str">
        <f ca="1">IFERROR(__xludf.DUMMYFUNCTION("""COMPUTED_VALUE"""),"Sela - Ruimte voor U")</f>
        <v>Sela - Ruimte voor U</v>
      </c>
    </row>
    <row r="1076" spans="1:1" ht="13" x14ac:dyDescent="0.15">
      <c r="A1076" s="4" t="str">
        <f ca="1">IFERROR(__xludf.DUMMYFUNCTION("""COMPUTED_VALUE"""),"Sela - Samen eten wij")</f>
        <v>Sela - Samen eten wij</v>
      </c>
    </row>
    <row r="1077" spans="1:1" ht="13" x14ac:dyDescent="0.15">
      <c r="A1077" s="4" t="str">
        <f ca="1">IFERROR(__xludf.DUMMYFUNCTION("""COMPUTED_VALUE"""),"Sela - Sanctus")</f>
        <v>Sela - Sanctus</v>
      </c>
    </row>
    <row r="1078" spans="1:1" ht="13" x14ac:dyDescent="0.15">
      <c r="A1078" s="4" t="str">
        <f ca="1">IFERROR(__xludf.DUMMYFUNCTION("""COMPUTED_VALUE"""),"Sela - Speel")</f>
        <v>Sela - Speel</v>
      </c>
    </row>
    <row r="1079" spans="1:1" ht="13" x14ac:dyDescent="0.15">
      <c r="A1079" s="4" t="str">
        <f ca="1">IFERROR(__xludf.DUMMYFUNCTION("""COMPUTED_VALUE"""),"Sela - Stad van God")</f>
        <v>Sela - Stad van God</v>
      </c>
    </row>
    <row r="1080" spans="1:1" ht="13" x14ac:dyDescent="0.15">
      <c r="A1080" s="4" t="str">
        <f ca="1">IFERROR(__xludf.DUMMYFUNCTION("""COMPUTED_VALUE"""),"Sela - Stille nacht, heilige nacht")</f>
        <v>Sela - Stille nacht, heilige nacht</v>
      </c>
    </row>
    <row r="1081" spans="1:1" ht="13" x14ac:dyDescent="0.15">
      <c r="A1081" s="4" t="str">
        <f ca="1">IFERROR(__xludf.DUMMYFUNCTION("""COMPUTED_VALUE"""),"Sela - Thuis")</f>
        <v>Sela - Thuis</v>
      </c>
    </row>
    <row r="1082" spans="1:1" ht="13" x14ac:dyDescent="0.15">
      <c r="A1082" s="4" t="str">
        <f ca="1">IFERROR(__xludf.DUMMYFUNCTION("""COMPUTED_VALUE"""),"Sela - U")</f>
        <v>Sela - U</v>
      </c>
    </row>
    <row r="1083" spans="1:1" ht="13" x14ac:dyDescent="0.15">
      <c r="A1083" s="4" t="str">
        <f ca="1">IFERROR(__xludf.DUMMYFUNCTION("""COMPUTED_VALUE"""),"Sela - U bent aanwezig")</f>
        <v>Sela - U bent aanwezig</v>
      </c>
    </row>
    <row r="1084" spans="1:1" ht="13" x14ac:dyDescent="0.15">
      <c r="A1084" s="4" t="str">
        <f ca="1">IFERROR(__xludf.DUMMYFUNCTION("""COMPUTED_VALUE"""),"Sela - U bent hier")</f>
        <v>Sela - U bent hier</v>
      </c>
    </row>
    <row r="1085" spans="1:1" ht="13" x14ac:dyDescent="0.15">
      <c r="A1085" s="4" t="str">
        <f ca="1">IFERROR(__xludf.DUMMYFUNCTION("""COMPUTED_VALUE"""),"Sela - U bent mijn schuilplaats Heer")</f>
        <v>Sela - U bent mijn schuilplaats Heer</v>
      </c>
    </row>
    <row r="1086" spans="1:1" ht="13" x14ac:dyDescent="0.15">
      <c r="A1086" s="4" t="str">
        <f ca="1">IFERROR(__xludf.DUMMYFUNCTION("""COMPUTED_VALUE"""),"Sela - U maakt ons één")</f>
        <v>Sela - U maakt ons één</v>
      </c>
    </row>
    <row r="1087" spans="1:1" ht="13" x14ac:dyDescent="0.15">
      <c r="A1087" s="4" t="str">
        <f ca="1">IFERROR(__xludf.DUMMYFUNCTION("""COMPUTED_VALUE"""),"Sela - U zij de glorie")</f>
        <v>Sela - U zij de glorie</v>
      </c>
    </row>
    <row r="1088" spans="1:1" ht="13" x14ac:dyDescent="0.15">
      <c r="A1088" s="4" t="str">
        <f ca="1">IFERROR(__xludf.DUMMYFUNCTION("""COMPUTED_VALUE"""),"Sela - Ubi caritas")</f>
        <v>Sela - Ubi caritas</v>
      </c>
    </row>
    <row r="1089" spans="1:1" ht="13" x14ac:dyDescent="0.15">
      <c r="A1089" s="4" t="str">
        <f ca="1">IFERROR(__xludf.DUMMYFUNCTION("""COMPUTED_VALUE"""),"Sela - Uw naam")</f>
        <v>Sela - Uw naam</v>
      </c>
    </row>
    <row r="1090" spans="1:1" ht="13" x14ac:dyDescent="0.15">
      <c r="A1090" s="4" t="str">
        <f ca="1">IFERROR(__xludf.DUMMYFUNCTION("""COMPUTED_VALUE"""),"Sela - Vaders huis")</f>
        <v>Sela - Vaders huis</v>
      </c>
    </row>
    <row r="1091" spans="1:1" ht="13" x14ac:dyDescent="0.15">
      <c r="A1091" s="4" t="str">
        <f ca="1">IFERROR(__xludf.DUMMYFUNCTION("""COMPUTED_VALUE"""),"Sela - Veni Creator Spiritus")</f>
        <v>Sela - Veni Creator Spiritus</v>
      </c>
    </row>
    <row r="1092" spans="1:1" ht="13" x14ac:dyDescent="0.15">
      <c r="A1092" s="4" t="str">
        <f ca="1">IFERROR(__xludf.DUMMYFUNCTION("""COMPUTED_VALUE"""),"Sela - Verborgen rijkdom")</f>
        <v>Sela - Verborgen rijkdom</v>
      </c>
    </row>
    <row r="1093" spans="1:1" ht="13" x14ac:dyDescent="0.15">
      <c r="A1093" s="4" t="str">
        <f ca="1">IFERROR(__xludf.DUMMYFUNCTION("""COMPUTED_VALUE"""),"Sela - Vergeef ons")</f>
        <v>Sela - Vergeef ons</v>
      </c>
    </row>
    <row r="1094" spans="1:1" ht="13" x14ac:dyDescent="0.15">
      <c r="A1094" s="4" t="str">
        <f ca="1">IFERROR(__xludf.DUMMYFUNCTION("""COMPUTED_VALUE"""),"Sela - Verlangen")</f>
        <v>Sela - Verlangen</v>
      </c>
    </row>
    <row r="1095" spans="1:1" ht="13" x14ac:dyDescent="0.15">
      <c r="A1095" s="4" t="str">
        <f ca="1">IFERROR(__xludf.DUMMYFUNCTION("""COMPUTED_VALUE"""),"Sela - Verwachten")</f>
        <v>Sela - Verwachten</v>
      </c>
    </row>
    <row r="1096" spans="1:1" ht="13" x14ac:dyDescent="0.15">
      <c r="A1096" s="4" t="str">
        <f ca="1">IFERROR(__xludf.DUMMYFUNCTION("""COMPUTED_VALUE"""),"Sela - Via Dolorosa")</f>
        <v>Sela - Via Dolorosa</v>
      </c>
    </row>
    <row r="1097" spans="1:1" ht="13" x14ac:dyDescent="0.15">
      <c r="A1097" s="4" t="str">
        <f ca="1">IFERROR(__xludf.DUMMYFUNCTION("""COMPUTED_VALUE"""),"Sela - Volheid van God")</f>
        <v>Sela - Volheid van God</v>
      </c>
    </row>
    <row r="1098" spans="1:1" ht="13" x14ac:dyDescent="0.15">
      <c r="A1098" s="4" t="str">
        <f ca="1">IFERROR(__xludf.DUMMYFUNCTION("""COMPUTED_VALUE"""),"Sela - Volheid van genade")</f>
        <v>Sela - Volheid van genade</v>
      </c>
    </row>
    <row r="1099" spans="1:1" ht="13" x14ac:dyDescent="0.15">
      <c r="A1099" s="4" t="str">
        <f ca="1">IFERROR(__xludf.DUMMYFUNCTION("""COMPUTED_VALUE"""),"Sela - Voor het goede van het land")</f>
        <v>Sela - Voor het goede van het land</v>
      </c>
    </row>
    <row r="1100" spans="1:1" ht="13" x14ac:dyDescent="0.15">
      <c r="A1100" s="4" t="str">
        <f ca="1">IFERROR(__xludf.DUMMYFUNCTION("""COMPUTED_VALUE"""),"Sela - Voorbedelied")</f>
        <v>Sela - Voorbedelied</v>
      </c>
    </row>
    <row r="1101" spans="1:1" ht="13" x14ac:dyDescent="0.15">
      <c r="A1101" s="4" t="str">
        <f ca="1">IFERROR(__xludf.DUMMYFUNCTION("""COMPUTED_VALUE"""),"Sela - Votum en Groet")</f>
        <v>Sela - Votum en Groet</v>
      </c>
    </row>
    <row r="1102" spans="1:1" ht="13" x14ac:dyDescent="0.15">
      <c r="A1102" s="4" t="str">
        <f ca="1">IFERROR(__xludf.DUMMYFUNCTION("""COMPUTED_VALUE"""),"Sela - Vrede voor wie het hoort")</f>
        <v>Sela - Vrede voor wie het hoort</v>
      </c>
    </row>
    <row r="1103" spans="1:1" ht="13" x14ac:dyDescent="0.15">
      <c r="A1103" s="4" t="str">
        <f ca="1">IFERROR(__xludf.DUMMYFUNCTION("""COMPUTED_VALUE"""),"Sela - Vreugde van mijn hart")</f>
        <v>Sela - Vreugde van mijn hart</v>
      </c>
    </row>
    <row r="1104" spans="1:1" ht="13" x14ac:dyDescent="0.15">
      <c r="A1104" s="4" t="str">
        <f ca="1">IFERROR(__xludf.DUMMYFUNCTION("""COMPUTED_VALUE"""),"Sela - Vreugdevuur")</f>
        <v>Sela - Vreugdevuur</v>
      </c>
    </row>
    <row r="1105" spans="1:1" ht="13" x14ac:dyDescent="0.15">
      <c r="A1105" s="4" t="str">
        <f ca="1">IFERROR(__xludf.DUMMYFUNCTION("""COMPUTED_VALUE"""),"Sela - Vul ons met uw liefde")</f>
        <v>Sela - Vul ons met uw liefde</v>
      </c>
    </row>
    <row r="1106" spans="1:1" ht="13" x14ac:dyDescent="0.15">
      <c r="A1106" s="4" t="str">
        <f ca="1">IFERROR(__xludf.DUMMYFUNCTION("""COMPUTED_VALUE"""),"Sela - Waar vriendschap en liefde zijn")</f>
        <v>Sela - Waar vriendschap en liefde zijn</v>
      </c>
    </row>
    <row r="1107" spans="1:1" ht="13" x14ac:dyDescent="0.15">
      <c r="A1107" s="4" t="str">
        <f ca="1">IFERROR(__xludf.DUMMYFUNCTION("""COMPUTED_VALUE"""),"Sela - Wacht op de Heer")</f>
        <v>Sela - Wacht op de Heer</v>
      </c>
    </row>
    <row r="1108" spans="1:1" ht="13" x14ac:dyDescent="0.15">
      <c r="A1108" s="4" t="str">
        <f ca="1">IFERROR(__xludf.DUMMYFUNCTION("""COMPUTED_VALUE"""),"Sela - Wanneer ik U niet vind")</f>
        <v>Sela - Wanneer ik U niet vind</v>
      </c>
    </row>
    <row r="1109" spans="1:1" ht="13" x14ac:dyDescent="0.15">
      <c r="A1109" s="4" t="str">
        <f ca="1">IFERROR(__xludf.DUMMYFUNCTION("""COMPUTED_VALUE"""),"Sela - Wanneer wordt het waar")</f>
        <v>Sela - Wanneer wordt het waar</v>
      </c>
    </row>
    <row r="1110" spans="1:1" ht="13" x14ac:dyDescent="0.15">
      <c r="A1110" s="4" t="str">
        <f ca="1">IFERROR(__xludf.DUMMYFUNCTION("""COMPUTED_VALUE"""),"Sela - Wat een grote liefde")</f>
        <v>Sela - Wat een grote liefde</v>
      </c>
    </row>
    <row r="1111" spans="1:1" ht="13" x14ac:dyDescent="0.15">
      <c r="A1111" s="4" t="str">
        <f ca="1">IFERROR(__xludf.DUMMYFUNCTION("""COMPUTED_VALUE"""),"Sela - Wees bij ons")</f>
        <v>Sela - Wees bij ons</v>
      </c>
    </row>
    <row r="1112" spans="1:1" ht="13" x14ac:dyDescent="0.15">
      <c r="A1112" s="4" t="str">
        <f ca="1">IFERROR(__xludf.DUMMYFUNCTION("""COMPUTED_VALUE"""),"Sela - Wees stil voor het aangezicht van God")</f>
        <v>Sela - Wees stil voor het aangezicht van God</v>
      </c>
    </row>
    <row r="1113" spans="1:1" ht="13" x14ac:dyDescent="0.15">
      <c r="A1113" s="4" t="str">
        <f ca="1">IFERROR(__xludf.DUMMYFUNCTION("""COMPUTED_VALUE"""),"Sela - Wees verheugd")</f>
        <v>Sela - Wees verheugd</v>
      </c>
    </row>
    <row r="1114" spans="1:1" ht="13" x14ac:dyDescent="0.15">
      <c r="A1114" s="4" t="str">
        <f ca="1">IFERROR(__xludf.DUMMYFUNCTION("""COMPUTED_VALUE"""),"Sela - Welkom hier bij ons")</f>
        <v>Sela - Welkom hier bij ons</v>
      </c>
    </row>
    <row r="1115" spans="1:1" ht="13" x14ac:dyDescent="0.15">
      <c r="A1115" s="4" t="str">
        <f ca="1">IFERROR(__xludf.DUMMYFUNCTION("""COMPUTED_VALUE"""),"Sela - Welzalig de man")</f>
        <v>Sela - Welzalig de man</v>
      </c>
    </row>
    <row r="1116" spans="1:1" ht="13" x14ac:dyDescent="0.15">
      <c r="A1116" s="4" t="str">
        <f ca="1">IFERROR(__xludf.DUMMYFUNCTION("""COMPUTED_VALUE"""),"Sela - Wiegelied")</f>
        <v>Sela - Wiegelied</v>
      </c>
    </row>
    <row r="1117" spans="1:1" ht="13" x14ac:dyDescent="0.15">
      <c r="A1117" s="4" t="str">
        <f ca="1">IFERROR(__xludf.DUMMYFUNCTION("""COMPUTED_VALUE"""),"Sela - Wij gaan niet zonder U")</f>
        <v>Sela - Wij gaan niet zonder U</v>
      </c>
    </row>
    <row r="1118" spans="1:1" ht="13" x14ac:dyDescent="0.15">
      <c r="A1118" s="4" t="str">
        <f ca="1">IFERROR(__xludf.DUMMYFUNCTION("""COMPUTED_VALUE"""),"Sela - Wij geloven")</f>
        <v>Sela - Wij geloven</v>
      </c>
    </row>
    <row r="1119" spans="1:1" ht="13" x14ac:dyDescent="0.15">
      <c r="A1119" s="4" t="str">
        <f ca="1">IFERROR(__xludf.DUMMYFUNCTION("""COMPUTED_VALUE"""),"Sela - Wij leven van de wind")</f>
        <v>Sela - Wij leven van de wind</v>
      </c>
    </row>
    <row r="1120" spans="1:1" ht="13" x14ac:dyDescent="0.15">
      <c r="A1120" s="4" t="str">
        <f ca="1">IFERROR(__xludf.DUMMYFUNCTION("""COMPUTED_VALUE"""),"Sela - Wij trekken in een lange stoet")</f>
        <v>Sela - Wij trekken in een lange stoet</v>
      </c>
    </row>
    <row r="1121" spans="1:1" ht="13" x14ac:dyDescent="0.15">
      <c r="A1121" s="4" t="str">
        <f ca="1">IFERROR(__xludf.DUMMYFUNCTION("""COMPUTED_VALUE"""),"Sela - Wij verhogen uw naam")</f>
        <v>Sela - Wij verhogen uw naam</v>
      </c>
    </row>
    <row r="1122" spans="1:1" ht="13" x14ac:dyDescent="0.15">
      <c r="A1122" s="4" t="str">
        <f ca="1">IFERROR(__xludf.DUMMYFUNCTION("""COMPUTED_VALUE"""),"Sela - Wij volgen U Heer")</f>
        <v>Sela - Wij volgen U Heer</v>
      </c>
    </row>
    <row r="1123" spans="1:1" ht="13" x14ac:dyDescent="0.15">
      <c r="A1123" s="4" t="str">
        <f ca="1">IFERROR(__xludf.DUMMYFUNCTION("""COMPUTED_VALUE"""),"Sela - Wij zijn het licht")</f>
        <v>Sela - Wij zijn het licht</v>
      </c>
    </row>
    <row r="1124" spans="1:1" ht="13" x14ac:dyDescent="0.15">
      <c r="A1124" s="4" t="str">
        <f ca="1">IFERROR(__xludf.DUMMYFUNCTION("""COMPUTED_VALUE"""),"Sela - Wijs mij de weg naar Bethlehem")</f>
        <v>Sela - Wijs mij de weg naar Bethlehem</v>
      </c>
    </row>
    <row r="1125" spans="1:1" ht="13" x14ac:dyDescent="0.15">
      <c r="A1125" s="4" t="str">
        <f ca="1">IFERROR(__xludf.DUMMYFUNCTION("""COMPUTED_VALUE"""),"Sela - Wonderlijk")</f>
        <v>Sela - Wonderlijk</v>
      </c>
    </row>
    <row r="1126" spans="1:1" ht="13" x14ac:dyDescent="0.15">
      <c r="A1126" s="4" t="str">
        <f ca="1">IFERROR(__xludf.DUMMYFUNCTION("""COMPUTED_VALUE"""),"Sela - Wonderlijke raad van God")</f>
        <v>Sela - Wonderlijke raad van God</v>
      </c>
    </row>
    <row r="1127" spans="1:1" ht="13" x14ac:dyDescent="0.15">
      <c r="A1127" s="4" t="str">
        <f ca="1">IFERROR(__xludf.DUMMYFUNCTION("""COMPUTED_VALUE"""),"Sela - Zegen komt van U")</f>
        <v>Sela - Zegen komt van U</v>
      </c>
    </row>
    <row r="1128" spans="1:1" ht="13" x14ac:dyDescent="0.15">
      <c r="A1128" s="4" t="str">
        <f ca="1">IFERROR(__xludf.DUMMYFUNCTION("""COMPUTED_VALUE"""),"Sela - Zegen voor de kinderen")</f>
        <v>Sela - Zegen voor de kinderen</v>
      </c>
    </row>
    <row r="1129" spans="1:1" ht="13" x14ac:dyDescent="0.15">
      <c r="A1129" s="4" t="str">
        <f ca="1">IFERROR(__xludf.DUMMYFUNCTION("""COMPUTED_VALUE"""),"Sela - Zie de mens")</f>
        <v>Sela - Zie de mens</v>
      </c>
    </row>
    <row r="1130" spans="1:1" ht="13" x14ac:dyDescent="0.15">
      <c r="A1130" s="4" t="str">
        <f ca="1">IFERROR(__xludf.DUMMYFUNCTION("""COMPUTED_VALUE"""),"Sela - Zie hoe Jezus lijdt voor mij")</f>
        <v>Sela - Zie hoe Jezus lijdt voor mij</v>
      </c>
    </row>
    <row r="1131" spans="1:1" ht="13" x14ac:dyDescent="0.15">
      <c r="A1131" s="4" t="str">
        <f ca="1">IFERROR(__xludf.DUMMYFUNCTION("""COMPUTED_VALUE"""),"Sela - Zo hoort uw liefde bij ons")</f>
        <v>Sela - Zo hoort uw liefde bij ons</v>
      </c>
    </row>
    <row r="1132" spans="1:1" ht="13" x14ac:dyDescent="0.15">
      <c r="A1132" s="4" t="str">
        <f ca="1">IFERROR(__xludf.DUMMYFUNCTION("""COMPUTED_VALUE"""),"Sela - Zo is het beloofd")</f>
        <v>Sela - Zo is het beloofd</v>
      </c>
    </row>
    <row r="1133" spans="1:1" ht="13" x14ac:dyDescent="0.15">
      <c r="A1133" s="4" t="str">
        <f ca="1">IFERROR(__xludf.DUMMYFUNCTION("""COMPUTED_VALUE"""),"Sela - Zo lief had God de Vader ons")</f>
        <v>Sela - Zo lief had God de Vader ons</v>
      </c>
    </row>
    <row r="1134" spans="1:1" ht="13" x14ac:dyDescent="0.15">
      <c r="A1134" s="4"/>
    </row>
    <row r="1135" spans="1:1" ht="13" x14ac:dyDescent="0.15">
      <c r="A1135" s="4"/>
    </row>
    <row r="1136" spans="1:1" ht="13" x14ac:dyDescent="0.15">
      <c r="A1136" s="4"/>
    </row>
    <row r="1137" spans="1:1" ht="13" x14ac:dyDescent="0.15">
      <c r="A1137" s="4"/>
    </row>
    <row r="1138" spans="1:1" ht="13" x14ac:dyDescent="0.15">
      <c r="A1138" s="4"/>
    </row>
    <row r="1139" spans="1:1" ht="13" x14ac:dyDescent="0.15">
      <c r="A1139" s="4"/>
    </row>
    <row r="1140" spans="1:1" ht="13" x14ac:dyDescent="0.15">
      <c r="A1140" s="4"/>
    </row>
    <row r="1141" spans="1:1" ht="13" x14ac:dyDescent="0.15">
      <c r="A1141" s="4"/>
    </row>
    <row r="1142" spans="1:1" ht="13" x14ac:dyDescent="0.15">
      <c r="A1142" s="4"/>
    </row>
    <row r="1143" spans="1:1" ht="13" x14ac:dyDescent="0.15">
      <c r="A1143" s="4"/>
    </row>
    <row r="1144" spans="1:1" ht="13" x14ac:dyDescent="0.15">
      <c r="A1144" s="4"/>
    </row>
    <row r="1145" spans="1:1" ht="13" x14ac:dyDescent="0.15">
      <c r="A1145" s="4"/>
    </row>
    <row r="1146" spans="1:1" ht="13" x14ac:dyDescent="0.15">
      <c r="A1146" s="4"/>
    </row>
    <row r="1147" spans="1:1" ht="13" x14ac:dyDescent="0.15">
      <c r="A1147" s="4"/>
    </row>
    <row r="1148" spans="1:1" ht="13" x14ac:dyDescent="0.15">
      <c r="A1148" s="4"/>
    </row>
    <row r="1149" spans="1:1" ht="13" x14ac:dyDescent="0.15">
      <c r="A1149" s="4"/>
    </row>
    <row r="1150" spans="1:1" ht="13" x14ac:dyDescent="0.15">
      <c r="A1150" s="4"/>
    </row>
    <row r="1151" spans="1:1" ht="13" x14ac:dyDescent="0.15">
      <c r="A1151" s="4"/>
    </row>
    <row r="1152" spans="1:1" ht="13" x14ac:dyDescent="0.15">
      <c r="A1152" s="4"/>
    </row>
    <row r="1153" spans="1:1" ht="13" x14ac:dyDescent="0.15">
      <c r="A1153" s="4"/>
    </row>
    <row r="1154" spans="1:1" ht="13" x14ac:dyDescent="0.15">
      <c r="A1154" s="4"/>
    </row>
    <row r="1155" spans="1:1" ht="13" x14ac:dyDescent="0.15">
      <c r="A1155" s="4"/>
    </row>
    <row r="1156" spans="1:1" ht="13" x14ac:dyDescent="0.15">
      <c r="A1156" s="4"/>
    </row>
    <row r="1157" spans="1:1" ht="13" x14ac:dyDescent="0.15">
      <c r="A1157" s="4"/>
    </row>
    <row r="1158" spans="1:1" ht="13" x14ac:dyDescent="0.15">
      <c r="A1158" s="4"/>
    </row>
    <row r="1159" spans="1:1" ht="13" x14ac:dyDescent="0.15">
      <c r="A1159" s="4"/>
    </row>
    <row r="1160" spans="1:1" ht="13" x14ac:dyDescent="0.15">
      <c r="A1160" s="4"/>
    </row>
    <row r="1161" spans="1:1" ht="13" x14ac:dyDescent="0.15">
      <c r="A1161" s="4"/>
    </row>
    <row r="1162" spans="1:1" ht="13" x14ac:dyDescent="0.15">
      <c r="A1162" s="4"/>
    </row>
    <row r="1163" spans="1:1" ht="13" x14ac:dyDescent="0.15">
      <c r="A1163" s="4"/>
    </row>
    <row r="1164" spans="1:1" ht="13" x14ac:dyDescent="0.15">
      <c r="A1164" s="4"/>
    </row>
    <row r="1165" spans="1:1" ht="13" x14ac:dyDescent="0.15">
      <c r="A1165" s="4"/>
    </row>
    <row r="1166" spans="1:1" ht="13" x14ac:dyDescent="0.15">
      <c r="A1166" s="4"/>
    </row>
    <row r="1167" spans="1:1" ht="13" x14ac:dyDescent="0.15">
      <c r="A1167" s="4"/>
    </row>
    <row r="1168" spans="1:1" ht="13" x14ac:dyDescent="0.15">
      <c r="A1168" s="4"/>
    </row>
    <row r="1169" spans="1:1" ht="13" x14ac:dyDescent="0.15">
      <c r="A1169" s="4"/>
    </row>
    <row r="1170" spans="1:1" ht="13" x14ac:dyDescent="0.15">
      <c r="A1170" s="4"/>
    </row>
    <row r="1171" spans="1:1" ht="13" x14ac:dyDescent="0.15">
      <c r="A1171" s="4"/>
    </row>
    <row r="1172" spans="1:1" ht="13" x14ac:dyDescent="0.15">
      <c r="A1172" s="4"/>
    </row>
    <row r="1173" spans="1:1" ht="13" x14ac:dyDescent="0.15">
      <c r="A1173" s="4"/>
    </row>
    <row r="1174" spans="1:1" ht="13" x14ac:dyDescent="0.15">
      <c r="A1174" s="4"/>
    </row>
    <row r="1175" spans="1:1" ht="13" x14ac:dyDescent="0.15">
      <c r="A1175" s="4"/>
    </row>
    <row r="1176" spans="1:1" ht="13" x14ac:dyDescent="0.15">
      <c r="A1176" s="4"/>
    </row>
    <row r="1177" spans="1:1" ht="13" x14ac:dyDescent="0.15">
      <c r="A1177" s="4"/>
    </row>
    <row r="1178" spans="1:1" ht="13" x14ac:dyDescent="0.15">
      <c r="A1178" s="4"/>
    </row>
    <row r="1179" spans="1:1" ht="13" x14ac:dyDescent="0.15">
      <c r="A1179" s="4"/>
    </row>
    <row r="1180" spans="1:1" ht="13" x14ac:dyDescent="0.15">
      <c r="A1180" s="4"/>
    </row>
    <row r="1181" spans="1:1" ht="13" x14ac:dyDescent="0.15">
      <c r="A1181" s="4"/>
    </row>
    <row r="1182" spans="1:1" ht="13" x14ac:dyDescent="0.15">
      <c r="A1182" s="4"/>
    </row>
    <row r="1183" spans="1:1" ht="13" x14ac:dyDescent="0.15">
      <c r="A1183" s="4"/>
    </row>
    <row r="1184" spans="1:1" ht="13" x14ac:dyDescent="0.15">
      <c r="A1184" s="4"/>
    </row>
    <row r="1185" spans="1:1" ht="13" x14ac:dyDescent="0.15">
      <c r="A1185" s="4"/>
    </row>
    <row r="1186" spans="1:1" ht="13" x14ac:dyDescent="0.15">
      <c r="A1186" s="4"/>
    </row>
    <row r="1187" spans="1:1" ht="13" x14ac:dyDescent="0.15">
      <c r="A1187" s="4"/>
    </row>
    <row r="1188" spans="1:1" ht="13" x14ac:dyDescent="0.15">
      <c r="A1188" s="4"/>
    </row>
    <row r="1189" spans="1:1" ht="13" x14ac:dyDescent="0.15">
      <c r="A1189" s="4"/>
    </row>
    <row r="1190" spans="1:1" ht="13" x14ac:dyDescent="0.15">
      <c r="A1190" s="4"/>
    </row>
    <row r="1191" spans="1:1" ht="13" x14ac:dyDescent="0.15">
      <c r="A1191" s="4"/>
    </row>
    <row r="1192" spans="1:1" ht="13" x14ac:dyDescent="0.15">
      <c r="A1192" s="4"/>
    </row>
    <row r="1193" spans="1:1" ht="13" x14ac:dyDescent="0.15">
      <c r="A1193" s="4"/>
    </row>
    <row r="1194" spans="1:1" ht="13" x14ac:dyDescent="0.15">
      <c r="A1194" s="4"/>
    </row>
    <row r="1195" spans="1:1" ht="13" x14ac:dyDescent="0.15">
      <c r="A1195" s="4"/>
    </row>
    <row r="1196" spans="1:1" ht="13" x14ac:dyDescent="0.15">
      <c r="A1196" s="4"/>
    </row>
    <row r="1197" spans="1:1" ht="13" x14ac:dyDescent="0.15">
      <c r="A1197" s="4"/>
    </row>
    <row r="1198" spans="1:1" ht="13" x14ac:dyDescent="0.15">
      <c r="A1198" s="4"/>
    </row>
    <row r="1199" spans="1:1" ht="13" x14ac:dyDescent="0.15">
      <c r="A1199" s="4"/>
    </row>
    <row r="1200" spans="1:1" ht="13" x14ac:dyDescent="0.15">
      <c r="A1200" s="4"/>
    </row>
    <row r="1201" spans="1:1" ht="13" x14ac:dyDescent="0.15">
      <c r="A1201" s="4"/>
    </row>
    <row r="1202" spans="1:1" ht="13" x14ac:dyDescent="0.15">
      <c r="A1202" s="4"/>
    </row>
    <row r="1203" spans="1:1" ht="13" x14ac:dyDescent="0.15">
      <c r="A1203" s="4"/>
    </row>
    <row r="1204" spans="1:1" ht="13" x14ac:dyDescent="0.15">
      <c r="A1204" s="4"/>
    </row>
    <row r="1205" spans="1:1" ht="13" x14ac:dyDescent="0.15">
      <c r="A1205" s="4"/>
    </row>
    <row r="1206" spans="1:1" ht="13" x14ac:dyDescent="0.15">
      <c r="A1206" s="4"/>
    </row>
    <row r="1207" spans="1:1" ht="13" x14ac:dyDescent="0.15">
      <c r="A1207" s="4"/>
    </row>
    <row r="1208" spans="1:1" ht="13" x14ac:dyDescent="0.15">
      <c r="A1208" s="4" t="str">
        <f ca="1">IFERROR(__xludf.DUMMYFUNCTION("""COMPUTED_VALUE"""),"TPP Ps. 142 - Ik Roep Tot U")</f>
        <v>TPP Ps. 142 - Ik Roep Tot U</v>
      </c>
    </row>
    <row r="1209" spans="1:1" ht="13" x14ac:dyDescent="0.15">
      <c r="A1209" s="4" t="str">
        <f ca="1">IFERROR(__xludf.DUMMYFUNCTION("""COMPUTED_VALUE"""),"TPP Ps. 32 - Als Nieuw Geboren")</f>
        <v>TPP Ps. 32 - Als Nieuw Geboren</v>
      </c>
    </row>
    <row r="1210" spans="1:1" ht="13" x14ac:dyDescent="0.15">
      <c r="A1210" s="4" t="str">
        <f ca="1">IFERROR(__xludf.DUMMYFUNCTION("""COMPUTED_VALUE"""),"TPP Ps. 67 - Heer Zegen Ons")</f>
        <v>TPP Ps. 67 - Heer Zegen Ons</v>
      </c>
    </row>
    <row r="1211" spans="1:1" ht="13" x14ac:dyDescent="0.15">
      <c r="A1211" s="4" t="str">
        <f ca="1">IFERROR(__xludf.DUMMYFUNCTION("""COMPUTED_VALUE"""),"TPP Ps. 68 - God Van Heil")</f>
        <v>TPP Ps. 68 - God Van Heil</v>
      </c>
    </row>
    <row r="1212" spans="1:1" ht="13" x14ac:dyDescent="0.15">
      <c r="A1212" s="4" t="str">
        <f ca="1">IFERROR(__xludf.DUMMYFUNCTION("""COMPUTED_VALUE"""),"TPP Ps. 75 - U Loven Wij")</f>
        <v>TPP Ps. 75 - U Loven Wij</v>
      </c>
    </row>
    <row r="1213" spans="1:1" ht="13" x14ac:dyDescent="0.15">
      <c r="A1213" s="4" t="str">
        <f ca="1">IFERROR(__xludf.DUMMYFUNCTION("""COMPUTED_VALUE"""),"TPP Ps. 85 - Goedheid En Trouw")</f>
        <v>TPP Ps. 85 - Goedheid En Trouw</v>
      </c>
    </row>
    <row r="1214" spans="1:1" ht="13" x14ac:dyDescent="0.15">
      <c r="A1214" s="4" t="str">
        <f ca="1">IFERROR(__xludf.DUMMYFUNCTION("""COMPUTED_VALUE"""),"TPP Ps. 27 - Wacht Op De Heer")</f>
        <v>TPP Ps. 27 - Wacht Op De Heer</v>
      </c>
    </row>
    <row r="1215" spans="1:1" ht="13" x14ac:dyDescent="0.15">
      <c r="A1215" s="4" t="str">
        <f ca="1">IFERROR(__xludf.DUMMYFUNCTION("""COMPUTED_VALUE"""),"TPP Ps. 91 - U Bent Mijn Schild")</f>
        <v>TPP Ps. 91 - U Bent Mijn Schild</v>
      </c>
    </row>
    <row r="1216" spans="1:1" ht="13" x14ac:dyDescent="0.15">
      <c r="A1216" s="4" t="str">
        <f ca="1">IFERROR(__xludf.DUMMYFUNCTION("""COMPUTED_VALUE"""),"TPP Ps. 130 - Red Mij Heer")</f>
        <v>TPP Ps. 130 - Red Mij Heer</v>
      </c>
    </row>
    <row r="1217" spans="1:1" ht="13" x14ac:dyDescent="0.15">
      <c r="A1217" s="4" t="str">
        <f ca="1">IFERROR(__xludf.DUMMYFUNCTION("""COMPUTED_VALUE"""),"TPP Ps. 136 - Loof De Heer")</f>
        <v>TPP Ps. 136 - Loof De Heer</v>
      </c>
    </row>
    <row r="1218" spans="1:1" ht="13" x14ac:dyDescent="0.15">
      <c r="A1218" s="4" t="str">
        <f ca="1">IFERROR(__xludf.DUMMYFUNCTION("""COMPUTED_VALUE"""),"TPP Ps. 100 - Hij Is Heer")</f>
        <v>TPP Ps. 100 - Hij Is Heer</v>
      </c>
    </row>
    <row r="1219" spans="1:1" ht="13" x14ac:dyDescent="0.15">
      <c r="A1219" s="4" t="str">
        <f ca="1">IFERROR(__xludf.DUMMYFUNCTION("""COMPUTED_VALUE"""),"TPP Ps. 146 - I will sing out")</f>
        <v>TPP Ps. 146 - I will sing out</v>
      </c>
    </row>
    <row r="1220" spans="1:1" ht="13" x14ac:dyDescent="0.15">
      <c r="A1220" s="4" t="str">
        <f ca="1">IFERROR(__xludf.DUMMYFUNCTION("""COMPUTED_VALUE"""),"TPP Ps. 1 - Here I am")</f>
        <v>TPP Ps. 1 - Here I am</v>
      </c>
    </row>
    <row r="1221" spans="1:1" ht="13" x14ac:dyDescent="0.15">
      <c r="A1221" s="4" t="str">
        <f ca="1">IFERROR(__xludf.DUMMYFUNCTION("""COMPUTED_VALUE"""),"TPP Ps. 80 - Hear us oh God")</f>
        <v>TPP Ps. 80 - Hear us oh God</v>
      </c>
    </row>
    <row r="1222" spans="1:1" ht="13" x14ac:dyDescent="0.15">
      <c r="A1222" s="4" t="str">
        <f ca="1">IFERROR(__xludf.DUMMYFUNCTION("""COMPUTED_VALUE"""),"TPP Ps. 23 - Green is the land")</f>
        <v>TPP Ps. 23 - Green is the land</v>
      </c>
    </row>
    <row r="1223" spans="1:1" ht="13" x14ac:dyDescent="0.15">
      <c r="A1223" s="4" t="str">
        <f ca="1">IFERROR(__xludf.DUMMYFUNCTION("""COMPUTED_VALUE"""),"TPP Ps. 51 - Whiter than snow")</f>
        <v>TPP Ps. 51 - Whiter than snow</v>
      </c>
    </row>
    <row r="1224" spans="1:1" ht="13" x14ac:dyDescent="0.15">
      <c r="A1224" s="4" t="str">
        <f ca="1">IFERROR(__xludf.DUMMYFUNCTION("""COMPUTED_VALUE"""),"TPP God of love and faithfulness")</f>
        <v>TPP God of love and faithfulness</v>
      </c>
    </row>
    <row r="1225" spans="1:1" ht="13" x14ac:dyDescent="0.15">
      <c r="A1225" s="4" t="str">
        <f ca="1">IFERROR(__xludf.DUMMYFUNCTION("""COMPUTED_VALUE"""),"TPP Ps. 133 - How good it is")</f>
        <v>TPP Ps. 133 - How good it is</v>
      </c>
    </row>
    <row r="1226" spans="1:1" ht="13" x14ac:dyDescent="0.15">
      <c r="A1226" s="4" t="str">
        <f ca="1">IFERROR(__xludf.DUMMYFUNCTION("""COMPUTED_VALUE"""),"TPP Ps. 146 - Praise the Lord with joyful noises")</f>
        <v>TPP Ps. 146 - Praise the Lord with joyful noises</v>
      </c>
    </row>
    <row r="1227" spans="1:1" ht="13" x14ac:dyDescent="0.15">
      <c r="A1227" s="4" t="str">
        <f ca="1">IFERROR(__xludf.DUMMYFUNCTION("""COMPUTED_VALUE"""),"TPP Ps. 96 - Great is our God")</f>
        <v>TPP Ps. 96 - Great is our God</v>
      </c>
    </row>
    <row r="1228" spans="1:1" ht="13" x14ac:dyDescent="0.15">
      <c r="A1228" s="4" t="str">
        <f ca="1">IFERROR(__xludf.DUMMYFUNCTION("""COMPUTED_VALUE"""),"TPP Ps. 103 - Bless the Lord, my soul")</f>
        <v>TPP Ps. 103 - Bless the Lord, my soul</v>
      </c>
    </row>
    <row r="1229" spans="1:1" ht="13" x14ac:dyDescent="0.15">
      <c r="A1229" s="4" t="str">
        <f ca="1">IFERROR(__xludf.DUMMYFUNCTION("""COMPUTED_VALUE"""),"TPP Ps. 146 - Hoop op Hem")</f>
        <v>TPP Ps. 146 - Hoop op Hem</v>
      </c>
    </row>
    <row r="1230" spans="1:1" ht="13" x14ac:dyDescent="0.15">
      <c r="A1230" s="4" t="str">
        <f ca="1">IFERROR(__xludf.DUMMYFUNCTION("""COMPUTED_VALUE"""),"TPP Ps. 80 - Bescherm ons Heer")</f>
        <v>TPP Ps. 80 - Bescherm ons Heer</v>
      </c>
    </row>
    <row r="1231" spans="1:1" ht="13" x14ac:dyDescent="0.15">
      <c r="A1231" s="4" t="str">
        <f ca="1">IFERROR(__xludf.DUMMYFUNCTION("""COMPUTED_VALUE"""),"TPP Ps. 23 - Groen is het land")</f>
        <v>TPP Ps. 23 - Groen is het land</v>
      </c>
    </row>
    <row r="1232" spans="1:1" ht="13" x14ac:dyDescent="0.15">
      <c r="A1232" s="4" t="str">
        <f ca="1">IFERROR(__xludf.DUMMYFUNCTION("""COMPUTED_VALUE"""),"TPP Ps. 51 - Witter dan sneeuw")</f>
        <v>TPP Ps. 51 - Witter dan sneeuw</v>
      </c>
    </row>
    <row r="1233" spans="1:1" ht="13" x14ac:dyDescent="0.15">
      <c r="A1233" s="4" t="str">
        <f ca="1">IFERROR(__xludf.DUMMYFUNCTION("""COMPUTED_VALUE"""),"TPP God van liefde, God van trouw")</f>
        <v>TPP God van liefde, God van trouw</v>
      </c>
    </row>
    <row r="1234" spans="1:1" ht="13" x14ac:dyDescent="0.15">
      <c r="A1234" s="4" t="str">
        <f ca="1">IFERROR(__xludf.DUMMYFUNCTION("""COMPUTED_VALUE"""),"TPP Ps. 133 - Daar is het leven goed")</f>
        <v>TPP Ps. 133 - Daar is het leven goed</v>
      </c>
    </row>
    <row r="1235" spans="1:1" ht="13" x14ac:dyDescent="0.15">
      <c r="A1235" s="4" t="str">
        <f ca="1">IFERROR(__xludf.DUMMYFUNCTION("""COMPUTED_VALUE"""),"TPP Ps. 146 - Prijs de Heer met blijde galmen")</f>
        <v>TPP Ps. 146 - Prijs de Heer met blijde galmen</v>
      </c>
    </row>
    <row r="1236" spans="1:1" ht="13" x14ac:dyDescent="0.15">
      <c r="A1236" s="4" t="str">
        <f ca="1">IFERROR(__xludf.DUMMYFUNCTION("""COMPUTED_VALUE"""),"TPP Ps. 93 - Uw macht is groot")</f>
        <v>TPP Ps. 93 - Uw macht is groot</v>
      </c>
    </row>
    <row r="1237" spans="1:1" ht="13" x14ac:dyDescent="0.15">
      <c r="A1237" s="4" t="str">
        <f ca="1">IFERROR(__xludf.DUMMYFUNCTION("""COMPUTED_VALUE"""),"TPP Ps. 96 - Zing voor de Heer")</f>
        <v>TPP Ps. 96 - Zing voor de Heer</v>
      </c>
    </row>
    <row r="1238" spans="1:1" ht="13" x14ac:dyDescent="0.15">
      <c r="A1238" s="4" t="str">
        <f ca="1">IFERROR(__xludf.DUMMYFUNCTION("""COMPUTED_VALUE"""),"TPP Ps. 143 - Heel mijn ziel verlangt naar U")</f>
        <v>TPP Ps. 143 - Heel mijn ziel verlangt naar U</v>
      </c>
    </row>
    <row r="1239" spans="1:1" ht="13" x14ac:dyDescent="0.15">
      <c r="A1239" s="4" t="str">
        <f ca="1">IFERROR(__xludf.DUMMYFUNCTION("""COMPUTED_VALUE"""),"TPP Ps. 113 - Wie is als onze God")</f>
        <v>TPP Ps. 113 - Wie is als onze God</v>
      </c>
    </row>
    <row r="1240" spans="1:1" ht="13" x14ac:dyDescent="0.15">
      <c r="A1240" s="4" t="str">
        <f ca="1">IFERROR(__xludf.DUMMYFUNCTION("""COMPUTED_VALUE"""),"TPP Ps. 103 - Loof de Heer mijn ziel")</f>
        <v>TPP Ps. 103 - Loof de Heer mijn ziel</v>
      </c>
    </row>
    <row r="1241" spans="1:1" ht="13" x14ac:dyDescent="0.15">
      <c r="A1241" s="4" t="str">
        <f ca="1">IFERROR(__xludf.DUMMYFUNCTION("""COMPUTED_VALUE"""),"TPP Ps. 25 - Gebed")</f>
        <v>TPP Ps. 25 - Gebed</v>
      </c>
    </row>
    <row r="1242" spans="1:1" ht="13" x14ac:dyDescent="0.15">
      <c r="A1242" s="4" t="str">
        <f ca="1">IFERROR(__xludf.DUMMYFUNCTION("""COMPUTED_VALUE"""),"TPP Ps. 139 - Heer die mij ziet zoals ik ben")</f>
        <v>TPP Ps. 139 - Heer die mij ziet zoals ik ben</v>
      </c>
    </row>
    <row r="1243" spans="1:1" ht="13" x14ac:dyDescent="0.15">
      <c r="A1243" s="4" t="str">
        <f ca="1">IFERROR(__xludf.DUMMYFUNCTION("""COMPUTED_VALUE"""),"TPP Ps. 138 - U loof ik Heer")</f>
        <v>TPP Ps. 138 - U loof ik Heer</v>
      </c>
    </row>
    <row r="1244" spans="1:1" ht="13" x14ac:dyDescent="0.15">
      <c r="A1244" s="4" t="str">
        <f ca="1">IFERROR(__xludf.DUMMYFUNCTION("""COMPUTED_VALUE"""),"TPP Ps. 116 - Feestzang")</f>
        <v>TPP Ps. 116 - Feestzang</v>
      </c>
    </row>
    <row r="1245" spans="1:1" ht="13" x14ac:dyDescent="0.15">
      <c r="A1245" s="4" t="str">
        <f ca="1">IFERROR(__xludf.DUMMYFUNCTION("""COMPUTED_VALUE"""),"TPP Ps. 134 - Zegenbede")</f>
        <v>TPP Ps. 134 - Zegenbede</v>
      </c>
    </row>
    <row r="1246" spans="1:1" ht="13" x14ac:dyDescent="0.15">
      <c r="A1246" s="4" t="str">
        <f ca="1">IFERROR(__xludf.DUMMYFUNCTION("""COMPUTED_VALUE"""),"TPP Ps. 62 - Mijn ziel is stil tot God")</f>
        <v>TPP Ps. 62 - Mijn ziel is stil tot God</v>
      </c>
    </row>
    <row r="1247" spans="1:1" ht="13" x14ac:dyDescent="0.15">
      <c r="A1247" s="4" t="str">
        <f ca="1">IFERROR(__xludf.DUMMYFUNCTION("""COMPUTED_VALUE"""),"TPP Ps. 42 - Mijn ziel verlangt naar U")</f>
        <v>TPP Ps. 42 - Mijn ziel verlangt naar U</v>
      </c>
    </row>
    <row r="1248" spans="1:1" ht="13" x14ac:dyDescent="0.15">
      <c r="A1248" s="4" t="str">
        <f ca="1">IFERROR(__xludf.DUMMYFUNCTION("""COMPUTED_VALUE"""),"TPP Ps. 119 - Met al mijn kracht")</f>
        <v>TPP Ps. 119 - Met al mijn kracht</v>
      </c>
    </row>
    <row r="1249" spans="1:1" ht="13" x14ac:dyDescent="0.15">
      <c r="A1249" s="4" t="str">
        <f ca="1">IFERROR(__xludf.DUMMYFUNCTION("""COMPUTED_VALUE"""),"TPP Ps. 84 - Pelgrimslied")</f>
        <v>TPP Ps. 84 - Pelgrimslied</v>
      </c>
    </row>
    <row r="1250" spans="1:1" ht="13" x14ac:dyDescent="0.15">
      <c r="A1250" s="4" t="str">
        <f ca="1">IFERROR(__xludf.DUMMYFUNCTION("""COMPUTED_VALUE"""),"TPP Ps. 86 - Gebed om hulp")</f>
        <v>TPP Ps. 86 - Gebed om hulp</v>
      </c>
    </row>
    <row r="1251" spans="1:1" ht="13" x14ac:dyDescent="0.15">
      <c r="A1251" s="4" t="str">
        <f ca="1">IFERROR(__xludf.DUMMYFUNCTION("""COMPUTED_VALUE"""),"TPP Ps. 149 - Israëls triomflied")</f>
        <v>TPP Ps. 149 - Israëls triomflied</v>
      </c>
    </row>
    <row r="1252" spans="1:1" ht="13" x14ac:dyDescent="0.15">
      <c r="A1252" s="4" t="str">
        <f ca="1">IFERROR(__xludf.DUMMYFUNCTION("""COMPUTED_VALUE"""),"TPP Ps. 22 - Mijn God, Waarom?")</f>
        <v>TPP Ps. 22 - Mijn God, Waarom?</v>
      </c>
    </row>
    <row r="1253" spans="1:1" ht="13" x14ac:dyDescent="0.15">
      <c r="A1253" s="4" t="str">
        <f ca="1">IFERROR(__xludf.DUMMYFUNCTION("""COMPUTED_VALUE"""),"TPP Ps. 62 - Mijn Ziel Is Stil Tot God")</f>
        <v>TPP Ps. 62 - Mijn Ziel Is Stil Tot God</v>
      </c>
    </row>
    <row r="1254" spans="1:1" ht="13" x14ac:dyDescent="0.15">
      <c r="A1254" s="4" t="str">
        <f ca="1">IFERROR(__xludf.DUMMYFUNCTION("""COMPUTED_VALUE"""),"TPP Ps. 72 - Gebed Voor De Koning")</f>
        <v>TPP Ps. 72 - Gebed Voor De Koning</v>
      </c>
    </row>
    <row r="1255" spans="1:1" ht="13" x14ac:dyDescent="0.15">
      <c r="A1255" s="4" t="str">
        <f ca="1">IFERROR(__xludf.DUMMYFUNCTION("""COMPUTED_VALUE"""),"TPP Ps. 86 - Gebed Om Hulp")</f>
        <v>TPP Ps. 86 - Gebed Om Hulp</v>
      </c>
    </row>
    <row r="1256" spans="1:1" ht="13" x14ac:dyDescent="0.15">
      <c r="A1256" s="4" t="str">
        <f ca="1">IFERROR(__xludf.DUMMYFUNCTION("""COMPUTED_VALUE"""),"TPP Ps. 116 - God Heb Ik Lief")</f>
        <v>TPP Ps. 116 - God Heb Ik Lief</v>
      </c>
    </row>
    <row r="1257" spans="1:1" ht="13" x14ac:dyDescent="0.15">
      <c r="A1257" s="4" t="str">
        <f ca="1">IFERROR(__xludf.DUMMYFUNCTION("""COMPUTED_VALUE"""),"TPP Ps. 119 - Met Al Mijn Kracht")</f>
        <v>TPP Ps. 119 - Met Al Mijn Kracht</v>
      </c>
    </row>
    <row r="1258" spans="1:1" ht="13" x14ac:dyDescent="0.15">
      <c r="A1258" s="4" t="str">
        <f ca="1">IFERROR(__xludf.DUMMYFUNCTION("""COMPUTED_VALUE"""),"TPP Ps. 121 - Waar Komt Mijn Hulp Vandaan?")</f>
        <v>TPP Ps. 121 - Waar Komt Mijn Hulp Vandaan?</v>
      </c>
    </row>
    <row r="1259" spans="1:1" ht="13" x14ac:dyDescent="0.15">
      <c r="A1259" s="4" t="str">
        <f ca="1">IFERROR(__xludf.DUMMYFUNCTION("""COMPUTED_VALUE"""),"TPP Ps. 139 - Heer Die Mij Ziet Zoals Ik Ben")</f>
        <v>TPP Ps. 139 - Heer Die Mij Ziet Zoals Ik Ben</v>
      </c>
    </row>
    <row r="1260" spans="1:1" ht="13" x14ac:dyDescent="0.15">
      <c r="A1260" s="4" t="str">
        <f ca="1">IFERROR(__xludf.DUMMYFUNCTION("""COMPUTED_VALUE"""),"TPP Ps. 118 - Feestzang")</f>
        <v>TPP Ps. 118 - Feestzang</v>
      </c>
    </row>
    <row r="1261" spans="1:1" ht="13" x14ac:dyDescent="0.15">
      <c r="A1261" s="4" t="str">
        <f ca="1">IFERROR(__xludf.DUMMYFUNCTION("""COMPUTED_VALUE"""),"TPP Ps. 150 - Halleluja!")</f>
        <v>TPP Ps. 150 - Halleluja!</v>
      </c>
    </row>
    <row r="1262" spans="1:1" ht="13" x14ac:dyDescent="0.15">
      <c r="A1262" s="4" t="str">
        <f ca="1">IFERROR(__xludf.DUMMYFUNCTION("""COMPUTED_VALUE"""),"TPP Ps. 25 - Lord, to You my soul is lifted")</f>
        <v>TPP Ps. 25 - Lord, to You my soul is lifted</v>
      </c>
    </row>
    <row r="1263" spans="1:1" ht="13" x14ac:dyDescent="0.15">
      <c r="A1263" s="4" t="str">
        <f ca="1">IFERROR(__xludf.DUMMYFUNCTION("""COMPUTED_VALUE"""),"TPP Ps. 72 - Prayer for the King")</f>
        <v>TPP Ps. 72 - Prayer for the King</v>
      </c>
    </row>
    <row r="1264" spans="1:1" ht="13" x14ac:dyDescent="0.15">
      <c r="A1264" s="4" t="str">
        <f ca="1">IFERROR(__xludf.DUMMYFUNCTION("""COMPUTED_VALUE"""),"TPP Ps. 86 - Teach me Lord")</f>
        <v>TPP Ps. 86 - Teach me Lord</v>
      </c>
    </row>
    <row r="1265" spans="1:1" ht="13" x14ac:dyDescent="0.15">
      <c r="A1265" s="4" t="str">
        <f ca="1">IFERROR(__xludf.DUMMYFUNCTION("""COMPUTED_VALUE"""),"TPP Ps. 119 - Happy are those")</f>
        <v>TPP Ps. 119 - Happy are those</v>
      </c>
    </row>
    <row r="1266" spans="1:1" ht="13" x14ac:dyDescent="0.15">
      <c r="A1266" s="4" t="str">
        <f ca="1">IFERROR(__xludf.DUMMYFUNCTION("""COMPUTED_VALUE"""),"TPP Ps. 121 - My help comes from the Lord")</f>
        <v>TPP Ps. 121 - My help comes from the Lord</v>
      </c>
    </row>
    <row r="1267" spans="1:1" ht="13" x14ac:dyDescent="0.15">
      <c r="A1267" s="4" t="str">
        <f ca="1">IFERROR(__xludf.DUMMYFUNCTION("""COMPUTED_VALUE"""),"TPP Ps. 134 - You servants of the Lord our God")</f>
        <v>TPP Ps. 134 - You servants of the Lord our God</v>
      </c>
    </row>
    <row r="1268" spans="1:1" ht="13" x14ac:dyDescent="0.15">
      <c r="A1268" s="4" t="str">
        <f ca="1">IFERROR(__xludf.DUMMYFUNCTION("""COMPUTED_VALUE"""),"TPP Ps. 150 - Praise the Lord")</f>
        <v>TPP Ps. 150 - Praise the Lord</v>
      </c>
    </row>
    <row r="1269" spans="1:1" ht="13" x14ac:dyDescent="0.15">
      <c r="A1269" s="4" t="str">
        <f ca="1">IFERROR(__xludf.DUMMYFUNCTION("""COMPUTED_VALUE"""),"SvG Dan bent U met ons")</f>
        <v>SvG Dan bent U met ons</v>
      </c>
    </row>
    <row r="1270" spans="1:1" ht="13" x14ac:dyDescent="0.15">
      <c r="A1270" s="4" t="str">
        <f ca="1">IFERROR(__xludf.DUMMYFUNCTION("""COMPUTED_VALUE"""),"SvG Breng ons in evenwicht")</f>
        <v>SvG Breng ons in evenwicht</v>
      </c>
    </row>
    <row r="1271" spans="1:1" ht="13" x14ac:dyDescent="0.15">
      <c r="A1271" s="4" t="str">
        <f ca="1">IFERROR(__xludf.DUMMYFUNCTION("""COMPUTED_VALUE"""),"SvG Licht Aan")</f>
        <v>SvG Licht Aan</v>
      </c>
    </row>
    <row r="1272" spans="1:1" ht="13" x14ac:dyDescent="0.15">
      <c r="A1272" s="4" t="str">
        <f ca="1">IFERROR(__xludf.DUMMYFUNCTION("""COMPUTED_VALUE"""),"SvG Met Open Armen")</f>
        <v>SvG Met Open Armen</v>
      </c>
    </row>
    <row r="1273" spans="1:1" ht="13" x14ac:dyDescent="0.15">
      <c r="A1273" s="4" t="str">
        <f ca="1">IFERROR(__xludf.DUMMYFUNCTION("""COMPUTED_VALUE"""),"SvG God van de aarde")</f>
        <v>SvG God van de aarde</v>
      </c>
    </row>
    <row r="1274" spans="1:1" ht="13" x14ac:dyDescent="0.15">
      <c r="A1274" s="4" t="str">
        <f ca="1">IFERROR(__xludf.DUMMYFUNCTION("""COMPUTED_VALUE"""),"SvG Wat Gaan We Nu Doen")</f>
        <v>SvG Wat Gaan We Nu Doen</v>
      </c>
    </row>
    <row r="1275" spans="1:1" ht="13" x14ac:dyDescent="0.15">
      <c r="A1275" s="4" t="str">
        <f ca="1">IFERROR(__xludf.DUMMYFUNCTION("""COMPUTED_VALUE"""),"SvG Wat hebben we gedaan")</f>
        <v>SvG Wat hebben we gedaan</v>
      </c>
    </row>
    <row r="1276" spans="1:1" ht="13" x14ac:dyDescent="0.15">
      <c r="A1276" s="4" t="str">
        <f ca="1">IFERROR(__xludf.DUMMYFUNCTION("""COMPUTED_VALUE"""),"SvG Maak Ons Hart Onrustig")</f>
        <v>SvG Maak Ons Hart Onrustig</v>
      </c>
    </row>
    <row r="1277" spans="1:1" ht="13" x14ac:dyDescent="0.15">
      <c r="A1277" s="4" t="str">
        <f ca="1">IFERROR(__xludf.DUMMYFUNCTION("""COMPUTED_VALUE"""),"SvG Ontvang de zegen")</f>
        <v>SvG Ontvang de zegen</v>
      </c>
    </row>
    <row r="1278" spans="1:1" ht="13" x14ac:dyDescent="0.15">
      <c r="A1278" s="4" t="str">
        <f ca="1">IFERROR(__xludf.DUMMYFUNCTION("""COMPUTED_VALUE"""),"SvG Kijken met uw ogen")</f>
        <v>SvG Kijken met uw ogen</v>
      </c>
    </row>
    <row r="1279" spans="1:1" ht="13" x14ac:dyDescent="0.15">
      <c r="A1279" s="4" t="str">
        <f ca="1">IFERROR(__xludf.DUMMYFUNCTION("""COMPUTED_VALUE"""),"SvG Miljoenen stemmen")</f>
        <v>SvG Miljoenen stemmen</v>
      </c>
    </row>
    <row r="1280" spans="1:1" ht="13" x14ac:dyDescent="0.15">
      <c r="A1280" s="4" t="str">
        <f ca="1">IFERROR(__xludf.DUMMYFUNCTION("""COMPUTED_VALUE"""),"SvG Handen van God")</f>
        <v>SvG Handen van God</v>
      </c>
    </row>
    <row r="1281" spans="1:1" ht="13" x14ac:dyDescent="0.15">
      <c r="A1281" s="4" t="str">
        <f ca="1">IFERROR(__xludf.DUMMYFUNCTION("""COMPUTED_VALUE"""),"SvG De zevende dag")</f>
        <v>SvG De zevende dag</v>
      </c>
    </row>
    <row r="1282" spans="1:1" ht="13" x14ac:dyDescent="0.15">
      <c r="A1282" s="4" t="str">
        <f ca="1">IFERROR(__xludf.DUMMYFUNCTION("""COMPUTED_VALUE"""),"SvG Eindelijk weer kind")</f>
        <v>SvG Eindelijk weer kind</v>
      </c>
    </row>
    <row r="1283" spans="1:1" ht="13" x14ac:dyDescent="0.15">
      <c r="A1283" s="4" t="str">
        <f ca="1">IFERROR(__xludf.DUMMYFUNCTION("""COMPUTED_VALUE"""),"SvG Hoelang nog, Heer")</f>
        <v>SvG Hoelang nog, Heer</v>
      </c>
    </row>
    <row r="1284" spans="1:1" ht="13" x14ac:dyDescent="0.15">
      <c r="A1284" s="4" t="str">
        <f ca="1">IFERROR(__xludf.DUMMYFUNCTION("""COMPUTED_VALUE"""),"SvG Wanneer uw regen valt")</f>
        <v>SvG Wanneer uw regen valt</v>
      </c>
    </row>
    <row r="1285" spans="1:1" ht="13" x14ac:dyDescent="0.15">
      <c r="A1285" s="4" t="str">
        <f ca="1">IFERROR(__xludf.DUMMYFUNCTION("""COMPUTED_VALUE"""),"SvG Elke dag uw zegen mee")</f>
        <v>SvG Elke dag uw zegen mee</v>
      </c>
    </row>
    <row r="1286" spans="1:1" ht="13" x14ac:dyDescent="0.15">
      <c r="A1286" s="4" t="str">
        <f ca="1">IFERROR(__xludf.DUMMYFUNCTION("""COMPUTED_VALUE"""),"SvG Laat ons kijken naar de aarde")</f>
        <v>SvG Laat ons kijken naar de aarde</v>
      </c>
    </row>
    <row r="1287" spans="1:1" ht="13" x14ac:dyDescent="0.15">
      <c r="A1287" s="4" t="str">
        <f ca="1">IFERROR(__xludf.DUMMYFUNCTION("""COMPUTED_VALUE"""),"SvG Weinig Is Veel")</f>
        <v>SvG Weinig Is Veel</v>
      </c>
    </row>
    <row r="1288" spans="1:1" ht="13" x14ac:dyDescent="0.15">
      <c r="A1288" s="4" t="str">
        <f ca="1">IFERROR(__xludf.DUMMYFUNCTION("""COMPUTED_VALUE"""),"SvG Heer, Vergeef Ons")</f>
        <v>SvG Heer, Vergeef Ons</v>
      </c>
    </row>
    <row r="1289" spans="1:1" ht="13" x14ac:dyDescent="0.15">
      <c r="A1289" s="4" t="str">
        <f ca="1">IFERROR(__xludf.DUMMYFUNCTION("""COMPUTED_VALUE"""),"SvG God Woont Bij De Mensen")</f>
        <v>SvG God Woont Bij De Mensen</v>
      </c>
    </row>
    <row r="1290" spans="1:1" ht="13" x14ac:dyDescent="0.15">
      <c r="A1290" s="4" t="str">
        <f ca="1">IFERROR(__xludf.DUMMYFUNCTION("""COMPUTED_VALUE"""),"SvG Heer ontferm U")</f>
        <v>SvG Heer ontferm U</v>
      </c>
    </row>
    <row r="1291" spans="1:1" ht="13" x14ac:dyDescent="0.15">
      <c r="A1291" s="4" t="str">
        <f ca="1">IFERROR(__xludf.DUMMYFUNCTION("""COMPUTED_VALUE"""),"SvG God met ons")</f>
        <v>SvG God met ons</v>
      </c>
    </row>
    <row r="1292" spans="1:1" ht="13" x14ac:dyDescent="0.15">
      <c r="A1292" s="4" t="str">
        <f ca="1">IFERROR(__xludf.DUMMYFUNCTION("""COMPUTED_VALUE"""),"SvG Wat een kunstenaar")</f>
        <v>SvG Wat een kunstenaar</v>
      </c>
    </row>
    <row r="1293" spans="1:1" ht="13" x14ac:dyDescent="0.15">
      <c r="A1293" s="4" t="str">
        <f ca="1">IFERROR(__xludf.DUMMYFUNCTION("""COMPUTED_VALUE"""),"SvG Hemel Dichterbij")</f>
        <v>SvG Hemel Dichterbij</v>
      </c>
    </row>
    <row r="1294" spans="1:1" ht="13" x14ac:dyDescent="0.15">
      <c r="A1294" s="4" t="str">
        <f ca="1">IFERROR(__xludf.DUMMYFUNCTION("""COMPUTED_VALUE"""),"SvG Zeeën van recht")</f>
        <v>SvG Zeeën van recht</v>
      </c>
    </row>
    <row r="1295" spans="1:1" ht="13" x14ac:dyDescent="0.15">
      <c r="A1295" s="4" t="str">
        <f ca="1">IFERROR(__xludf.DUMMYFUNCTION("""COMPUTED_VALUE"""),"SvG Schepper God")</f>
        <v>SvG Schepper God</v>
      </c>
    </row>
    <row r="1296" spans="1:1" ht="13" x14ac:dyDescent="0.15">
      <c r="A1296" s="4" t="str">
        <f ca="1">IFERROR(__xludf.DUMMYFUNCTION("""COMPUTED_VALUE"""),"SvG Maak ons een zegen voor uw schepping")</f>
        <v>SvG Maak ons een zegen voor uw schepping</v>
      </c>
    </row>
    <row r="1297" spans="1:1" ht="13" x14ac:dyDescent="0.15">
      <c r="A1297" s="4" t="str">
        <f ca="1">IFERROR(__xludf.DUMMYFUNCTION("""COMPUTED_VALUE"""),"SvG Thuis Bij Hem")</f>
        <v>SvG Thuis Bij Hem</v>
      </c>
    </row>
    <row r="1298" spans="1:1" ht="13" x14ac:dyDescent="0.15">
      <c r="A1298" s="4" t="str">
        <f ca="1">IFERROR(__xludf.DUMMYFUNCTION("""COMPUTED_VALUE"""),"SvG Lieve God")</f>
        <v>SvG Lieve God</v>
      </c>
    </row>
    <row r="1299" spans="1:1" ht="13" x14ac:dyDescent="0.15">
      <c r="A1299" s="4" t="str">
        <f ca="1">IFERROR(__xludf.DUMMYFUNCTION("""COMPUTED_VALUE"""),"SvG Zo Eerlijk Als God")</f>
        <v>SvG Zo Eerlijk Als God</v>
      </c>
    </row>
    <row r="1300" spans="1:1" ht="13" x14ac:dyDescent="0.15">
      <c r="A1300" s="4" t="str">
        <f ca="1">IFERROR(__xludf.DUMMYFUNCTION("""COMPUTED_VALUE"""),"SvG Maak ons nuttig")</f>
        <v>SvG Maak ons nuttig</v>
      </c>
    </row>
    <row r="1301" spans="1:1" ht="13" x14ac:dyDescent="0.15">
      <c r="A1301" s="4"/>
    </row>
    <row r="1302" spans="1:1" ht="13" x14ac:dyDescent="0.15">
      <c r="A1302" s="4"/>
    </row>
    <row r="1303" spans="1:1" ht="13" x14ac:dyDescent="0.15">
      <c r="A1303" s="4"/>
    </row>
    <row r="1304" spans="1:1" ht="13" x14ac:dyDescent="0.15">
      <c r="A1304" s="4"/>
    </row>
    <row r="1305" spans="1:1" ht="13" x14ac:dyDescent="0.15">
      <c r="A1305" s="4"/>
    </row>
    <row r="1306" spans="1:1" ht="13" x14ac:dyDescent="0.15">
      <c r="A1306" s="4"/>
    </row>
    <row r="1307" spans="1:1" ht="13" x14ac:dyDescent="0.15">
      <c r="A1307" s="4"/>
    </row>
    <row r="1308" spans="1:1" ht="13" x14ac:dyDescent="0.15">
      <c r="A1308" s="4"/>
    </row>
    <row r="1309" spans="1:1" ht="13" x14ac:dyDescent="0.15">
      <c r="A1309" s="4"/>
    </row>
    <row r="1310" spans="1:1" ht="13" x14ac:dyDescent="0.15">
      <c r="A1310" s="4"/>
    </row>
    <row r="1311" spans="1:1" ht="13" x14ac:dyDescent="0.15">
      <c r="A1311" s="4"/>
    </row>
    <row r="1312" spans="1:1" ht="13" x14ac:dyDescent="0.15">
      <c r="A1312" s="4"/>
    </row>
    <row r="1313" spans="1:1" ht="13" x14ac:dyDescent="0.15">
      <c r="A1313" s="4"/>
    </row>
    <row r="1314" spans="1:1" ht="13" x14ac:dyDescent="0.15">
      <c r="A1314" s="4"/>
    </row>
    <row r="1315" spans="1:1" ht="13" x14ac:dyDescent="0.15">
      <c r="A1315" s="4"/>
    </row>
    <row r="1316" spans="1:1" ht="13" x14ac:dyDescent="0.15">
      <c r="A1316" s="4"/>
    </row>
    <row r="1317" spans="1:1" ht="13" x14ac:dyDescent="0.15">
      <c r="A1317" s="4"/>
    </row>
    <row r="1318" spans="1:1" ht="13" x14ac:dyDescent="0.15">
      <c r="A1318" s="4"/>
    </row>
    <row r="1319" spans="1:1" ht="13" x14ac:dyDescent="0.15">
      <c r="A1319" s="4"/>
    </row>
    <row r="1320" spans="1:1" ht="13" x14ac:dyDescent="0.15">
      <c r="A1320" s="4"/>
    </row>
    <row r="1321" spans="1:1" ht="13" x14ac:dyDescent="0.15">
      <c r="A1321" s="4"/>
    </row>
    <row r="1322" spans="1:1" ht="13" x14ac:dyDescent="0.15">
      <c r="A1322" s="4"/>
    </row>
    <row r="1323" spans="1:1" ht="13" x14ac:dyDescent="0.15">
      <c r="A1323" s="4"/>
    </row>
    <row r="1324" spans="1:1" ht="13" x14ac:dyDescent="0.15">
      <c r="A1324" s="4"/>
    </row>
    <row r="1325" spans="1:1" ht="13" x14ac:dyDescent="0.15">
      <c r="A1325" s="4"/>
    </row>
    <row r="1326" spans="1:1" ht="13" x14ac:dyDescent="0.15">
      <c r="A1326" s="4"/>
    </row>
    <row r="1327" spans="1:1" ht="13" x14ac:dyDescent="0.15">
      <c r="A1327" s="4"/>
    </row>
    <row r="1328" spans="1:1" ht="13" x14ac:dyDescent="0.15">
      <c r="A1328" s="4"/>
    </row>
    <row r="1329" spans="1:1" ht="13" x14ac:dyDescent="0.15">
      <c r="A1329" s="4"/>
    </row>
    <row r="1330" spans="1:1" ht="13" x14ac:dyDescent="0.15">
      <c r="A1330" s="4"/>
    </row>
    <row r="1331" spans="1:1" ht="13" x14ac:dyDescent="0.15">
      <c r="A1331" s="4"/>
    </row>
    <row r="1332" spans="1:1" ht="13" x14ac:dyDescent="0.15">
      <c r="A1332" s="4"/>
    </row>
    <row r="1333" spans="1:1" ht="13" x14ac:dyDescent="0.15">
      <c r="A1333" s="4"/>
    </row>
    <row r="1334" spans="1:1" ht="13" x14ac:dyDescent="0.15">
      <c r="A1334" s="4"/>
    </row>
    <row r="1335" spans="1:1" ht="13" x14ac:dyDescent="0.15">
      <c r="A1335" s="4"/>
    </row>
    <row r="1336" spans="1:1" ht="13" x14ac:dyDescent="0.15">
      <c r="A1336" s="4"/>
    </row>
    <row r="1337" spans="1:1" ht="13" x14ac:dyDescent="0.15">
      <c r="A1337" s="4"/>
    </row>
    <row r="1338" spans="1:1" ht="13" x14ac:dyDescent="0.15">
      <c r="A1338" s="4"/>
    </row>
    <row r="1339" spans="1:1" ht="13" x14ac:dyDescent="0.15">
      <c r="A1339" s="4"/>
    </row>
    <row r="1340" spans="1:1" ht="13" x14ac:dyDescent="0.15">
      <c r="A1340" s="4"/>
    </row>
    <row r="1341" spans="1:1" ht="13" x14ac:dyDescent="0.15">
      <c r="A1341" s="4"/>
    </row>
    <row r="1342" spans="1:1" ht="13" x14ac:dyDescent="0.15">
      <c r="A1342" s="4"/>
    </row>
    <row r="1343" spans="1:1" ht="13" x14ac:dyDescent="0.15">
      <c r="A1343" s="4"/>
    </row>
    <row r="1344" spans="1:1" ht="13" x14ac:dyDescent="0.15">
      <c r="A1344" s="4"/>
    </row>
    <row r="1345" spans="1:1" ht="13" x14ac:dyDescent="0.15">
      <c r="A1345" s="4"/>
    </row>
    <row r="1346" spans="1:1" ht="13" x14ac:dyDescent="0.15">
      <c r="A1346" s="4"/>
    </row>
    <row r="1347" spans="1:1" ht="13" x14ac:dyDescent="0.15">
      <c r="A1347" s="4"/>
    </row>
    <row r="1348" spans="1:1" ht="13" x14ac:dyDescent="0.15">
      <c r="A1348" s="4"/>
    </row>
    <row r="1349" spans="1:1" ht="13" x14ac:dyDescent="0.15">
      <c r="A1349" s="4"/>
    </row>
    <row r="1350" spans="1:1" ht="13" x14ac:dyDescent="0.15">
      <c r="A1350" s="4"/>
    </row>
    <row r="1351" spans="1:1" ht="13" x14ac:dyDescent="0.15">
      <c r="A1351" s="4"/>
    </row>
    <row r="1352" spans="1:1" ht="13" x14ac:dyDescent="0.15">
      <c r="A1352" s="4"/>
    </row>
    <row r="1353" spans="1:1" ht="13" x14ac:dyDescent="0.15">
      <c r="A1353" s="4"/>
    </row>
    <row r="1354" spans="1:1" ht="13" x14ac:dyDescent="0.15">
      <c r="A1354" s="4"/>
    </row>
    <row r="1355" spans="1:1" ht="13" x14ac:dyDescent="0.15">
      <c r="A1355" s="4"/>
    </row>
    <row r="1356" spans="1:1" ht="13" x14ac:dyDescent="0.15">
      <c r="A1356" s="4"/>
    </row>
    <row r="1357" spans="1:1" ht="13" x14ac:dyDescent="0.15">
      <c r="A1357" s="4"/>
    </row>
    <row r="1358" spans="1:1" ht="13" x14ac:dyDescent="0.15">
      <c r="A1358" s="4"/>
    </row>
    <row r="1359" spans="1:1" ht="13" x14ac:dyDescent="0.15">
      <c r="A1359" s="4"/>
    </row>
    <row r="1360" spans="1:1" ht="13" x14ac:dyDescent="0.15">
      <c r="A1360" s="4"/>
    </row>
    <row r="1361" spans="1:1" ht="13" x14ac:dyDescent="0.15">
      <c r="A1361" s="4"/>
    </row>
    <row r="1362" spans="1:1" ht="13" x14ac:dyDescent="0.15">
      <c r="A1362" s="4"/>
    </row>
    <row r="1363" spans="1:1" ht="13" x14ac:dyDescent="0.15">
      <c r="A1363" s="4"/>
    </row>
    <row r="1364" spans="1:1" ht="13" x14ac:dyDescent="0.15">
      <c r="A1364" s="4"/>
    </row>
    <row r="1365" spans="1:1" ht="13" x14ac:dyDescent="0.15">
      <c r="A1365" s="4"/>
    </row>
    <row r="1366" spans="1:1" ht="13" x14ac:dyDescent="0.15">
      <c r="A1366" s="4"/>
    </row>
    <row r="1367" spans="1:1" ht="13" x14ac:dyDescent="0.15">
      <c r="A1367" s="4"/>
    </row>
    <row r="1368" spans="1:1" ht="13" x14ac:dyDescent="0.15">
      <c r="A1368" s="4"/>
    </row>
    <row r="1369" spans="1:1" ht="13" x14ac:dyDescent="0.15">
      <c r="A1369" s="4"/>
    </row>
    <row r="1370" spans="1:1" ht="13" x14ac:dyDescent="0.15">
      <c r="A1370" s="4"/>
    </row>
    <row r="1371" spans="1:1" ht="13" x14ac:dyDescent="0.15">
      <c r="A1371" s="4"/>
    </row>
    <row r="1372" spans="1:1" ht="13" x14ac:dyDescent="0.15">
      <c r="A1372" s="4"/>
    </row>
    <row r="1373" spans="1:1" ht="13" x14ac:dyDescent="0.15">
      <c r="A1373" s="4"/>
    </row>
    <row r="1374" spans="1:1" ht="13" x14ac:dyDescent="0.15">
      <c r="A1374" s="4"/>
    </row>
    <row r="1375" spans="1:1" ht="13" x14ac:dyDescent="0.15">
      <c r="A1375" s="4"/>
    </row>
    <row r="1376" spans="1:1" ht="13" x14ac:dyDescent="0.15">
      <c r="A1376" s="4"/>
    </row>
    <row r="1377" spans="1:1" ht="13" x14ac:dyDescent="0.15">
      <c r="A1377" s="4"/>
    </row>
    <row r="1378" spans="1:1" ht="13" x14ac:dyDescent="0.15">
      <c r="A1378" s="4"/>
    </row>
    <row r="1379" spans="1:1" ht="13" x14ac:dyDescent="0.15">
      <c r="A1379" s="4"/>
    </row>
    <row r="1380" spans="1:1" ht="13" x14ac:dyDescent="0.15">
      <c r="A1380" s="4"/>
    </row>
    <row r="1381" spans="1:1" ht="13" x14ac:dyDescent="0.15">
      <c r="A1381" s="4"/>
    </row>
    <row r="1382" spans="1:1" ht="13" x14ac:dyDescent="0.15">
      <c r="A1382" s="4"/>
    </row>
    <row r="1383" spans="1:1" ht="13" x14ac:dyDescent="0.15">
      <c r="A1383" s="4"/>
    </row>
    <row r="1384" spans="1:1" ht="13" x14ac:dyDescent="0.15">
      <c r="A1384" s="4"/>
    </row>
    <row r="1385" spans="1:1" ht="13" x14ac:dyDescent="0.15">
      <c r="A1385" s="4"/>
    </row>
    <row r="1386" spans="1:1" ht="13" x14ac:dyDescent="0.15">
      <c r="A1386" s="4"/>
    </row>
    <row r="1387" spans="1:1" ht="13" x14ac:dyDescent="0.15">
      <c r="A1387" s="4"/>
    </row>
    <row r="1388" spans="1:1" ht="13" x14ac:dyDescent="0.15">
      <c r="A1388" s="4"/>
    </row>
    <row r="1389" spans="1:1" ht="13" x14ac:dyDescent="0.15">
      <c r="A1389" s="4"/>
    </row>
    <row r="1390" spans="1:1" ht="13" x14ac:dyDescent="0.15">
      <c r="A1390" s="4"/>
    </row>
    <row r="1391" spans="1:1" ht="13" x14ac:dyDescent="0.15">
      <c r="A1391" s="4"/>
    </row>
    <row r="1392" spans="1:1" ht="13" x14ac:dyDescent="0.15">
      <c r="A1392" s="4"/>
    </row>
    <row r="1393" spans="1:1" ht="13" x14ac:dyDescent="0.15">
      <c r="A1393" s="4"/>
    </row>
    <row r="1394" spans="1:1" ht="13" x14ac:dyDescent="0.15">
      <c r="A1394" s="4"/>
    </row>
    <row r="1395" spans="1:1" ht="13" x14ac:dyDescent="0.15">
      <c r="A1395" s="4"/>
    </row>
    <row r="1396" spans="1:1" ht="13" x14ac:dyDescent="0.15">
      <c r="A1396" s="4"/>
    </row>
    <row r="1397" spans="1:1" ht="13" x14ac:dyDescent="0.15">
      <c r="A1397" s="4"/>
    </row>
    <row r="1398" spans="1:1" ht="13" x14ac:dyDescent="0.15">
      <c r="A1398" s="4"/>
    </row>
    <row r="1399" spans="1:1" ht="13" x14ac:dyDescent="0.15">
      <c r="A1399" s="4"/>
    </row>
    <row r="1400" spans="1:1" ht="13" x14ac:dyDescent="0.15">
      <c r="A1400" s="4"/>
    </row>
    <row r="1401" spans="1:1" ht="13" x14ac:dyDescent="0.15">
      <c r="A1401" s="4"/>
    </row>
    <row r="1402" spans="1:1" ht="13" x14ac:dyDescent="0.15">
      <c r="A1402" s="4"/>
    </row>
    <row r="1403" spans="1:1" ht="13" x14ac:dyDescent="0.15">
      <c r="A1403" s="4"/>
    </row>
    <row r="1404" spans="1:1" ht="13" x14ac:dyDescent="0.15">
      <c r="A1404" s="4"/>
    </row>
    <row r="1405" spans="1:1" ht="13" x14ac:dyDescent="0.15">
      <c r="A1405" s="4"/>
    </row>
    <row r="1406" spans="1:1" ht="13" x14ac:dyDescent="0.15">
      <c r="A1406" s="4"/>
    </row>
    <row r="1407" spans="1:1" ht="13" x14ac:dyDescent="0.15">
      <c r="A1407" s="4"/>
    </row>
    <row r="1408" spans="1:1" ht="13" x14ac:dyDescent="0.15">
      <c r="A1408" s="4"/>
    </row>
    <row r="1409" spans="1:1" ht="13" x14ac:dyDescent="0.15">
      <c r="A1409" s="4"/>
    </row>
    <row r="1410" spans="1:1" ht="13" x14ac:dyDescent="0.15">
      <c r="A1410" s="4"/>
    </row>
    <row r="1411" spans="1:1" ht="13" x14ac:dyDescent="0.15">
      <c r="A1411" s="4"/>
    </row>
    <row r="1412" spans="1:1" ht="13" x14ac:dyDescent="0.15">
      <c r="A1412" s="4"/>
    </row>
    <row r="1413" spans="1:1" ht="13" x14ac:dyDescent="0.15">
      <c r="A1413" s="4"/>
    </row>
    <row r="1414" spans="1:1" ht="13" x14ac:dyDescent="0.15">
      <c r="A1414" s="4"/>
    </row>
    <row r="1415" spans="1:1" ht="13" x14ac:dyDescent="0.15">
      <c r="A1415" s="4"/>
    </row>
    <row r="1416" spans="1:1" ht="13" x14ac:dyDescent="0.15">
      <c r="A1416" s="4"/>
    </row>
    <row r="1417" spans="1:1" ht="13" x14ac:dyDescent="0.15">
      <c r="A1417" s="4"/>
    </row>
    <row r="1418" spans="1:1" ht="13" x14ac:dyDescent="0.15">
      <c r="A1418" s="4"/>
    </row>
    <row r="1419" spans="1:1" ht="13" x14ac:dyDescent="0.15">
      <c r="A1419" s="4"/>
    </row>
    <row r="1420" spans="1:1" ht="13" x14ac:dyDescent="0.15">
      <c r="A1420" s="4"/>
    </row>
    <row r="1421" spans="1:1" ht="13" x14ac:dyDescent="0.15">
      <c r="A1421" s="4"/>
    </row>
    <row r="1422" spans="1:1" ht="13" x14ac:dyDescent="0.15">
      <c r="A1422" s="4"/>
    </row>
    <row r="1423" spans="1:1" ht="13" x14ac:dyDescent="0.15">
      <c r="A1423" s="4"/>
    </row>
    <row r="1424" spans="1:1" ht="13" x14ac:dyDescent="0.15">
      <c r="A1424" s="4"/>
    </row>
    <row r="1425" spans="1:1" ht="13" x14ac:dyDescent="0.15">
      <c r="A1425" s="4"/>
    </row>
    <row r="1426" spans="1:1" ht="13" x14ac:dyDescent="0.15">
      <c r="A1426" s="4"/>
    </row>
    <row r="1427" spans="1:1" ht="13" x14ac:dyDescent="0.15">
      <c r="A1427" s="4"/>
    </row>
    <row r="1428" spans="1:1" ht="13" x14ac:dyDescent="0.15">
      <c r="A1428" s="4"/>
    </row>
    <row r="1429" spans="1:1" ht="13" x14ac:dyDescent="0.15">
      <c r="A1429" s="4"/>
    </row>
    <row r="1430" spans="1:1" ht="13" x14ac:dyDescent="0.15">
      <c r="A1430" s="4"/>
    </row>
    <row r="1431" spans="1:1" ht="13" x14ac:dyDescent="0.15">
      <c r="A1431" s="4"/>
    </row>
    <row r="1432" spans="1:1" ht="13" x14ac:dyDescent="0.15">
      <c r="A1432" s="4"/>
    </row>
    <row r="1433" spans="1:1" ht="13" x14ac:dyDescent="0.15">
      <c r="A1433" s="4"/>
    </row>
    <row r="1434" spans="1:1" ht="13" x14ac:dyDescent="0.15">
      <c r="A1434" s="4"/>
    </row>
    <row r="1435" spans="1:1" ht="13" x14ac:dyDescent="0.15">
      <c r="A1435" s="4"/>
    </row>
    <row r="1436" spans="1:1" ht="13" x14ac:dyDescent="0.15">
      <c r="A1436" s="4"/>
    </row>
    <row r="1437" spans="1:1" ht="13" x14ac:dyDescent="0.15">
      <c r="A1437" s="4"/>
    </row>
    <row r="1438" spans="1:1" ht="13" x14ac:dyDescent="0.15">
      <c r="A1438" s="4"/>
    </row>
    <row r="1439" spans="1:1" ht="13" x14ac:dyDescent="0.15">
      <c r="A1439" s="4"/>
    </row>
    <row r="1440" spans="1:1" ht="13" x14ac:dyDescent="0.15">
      <c r="A1440" s="4"/>
    </row>
    <row r="1441" spans="1:1" ht="13" x14ac:dyDescent="0.15">
      <c r="A1441" s="4"/>
    </row>
    <row r="1442" spans="1:1" ht="13" x14ac:dyDescent="0.15">
      <c r="A1442" s="4"/>
    </row>
    <row r="1443" spans="1:1" ht="13" x14ac:dyDescent="0.15">
      <c r="A1443" s="4"/>
    </row>
    <row r="1444" spans="1:1" ht="13" x14ac:dyDescent="0.15">
      <c r="A1444" s="4"/>
    </row>
    <row r="1445" spans="1:1" ht="13" x14ac:dyDescent="0.15">
      <c r="A1445" s="4"/>
    </row>
    <row r="1446" spans="1:1" ht="13" x14ac:dyDescent="0.15">
      <c r="A1446" s="4"/>
    </row>
    <row r="1447" spans="1:1" ht="13" x14ac:dyDescent="0.15">
      <c r="A1447" s="4"/>
    </row>
    <row r="1448" spans="1:1" ht="13" x14ac:dyDescent="0.15">
      <c r="A1448" s="4"/>
    </row>
    <row r="1449" spans="1:1" ht="13" x14ac:dyDescent="0.15">
      <c r="A1449" s="4"/>
    </row>
    <row r="1450" spans="1:1" ht="13" x14ac:dyDescent="0.15">
      <c r="A1450" s="4"/>
    </row>
    <row r="1451" spans="1:1" ht="13" x14ac:dyDescent="0.15">
      <c r="A1451" s="4"/>
    </row>
    <row r="1452" spans="1:1" ht="13" x14ac:dyDescent="0.15">
      <c r="A1452" s="4"/>
    </row>
    <row r="1453" spans="1:1" ht="13" x14ac:dyDescent="0.15">
      <c r="A1453" s="4"/>
    </row>
    <row r="1454" spans="1:1" ht="13" x14ac:dyDescent="0.15">
      <c r="A1454" s="4"/>
    </row>
    <row r="1455" spans="1:1" ht="13" x14ac:dyDescent="0.15">
      <c r="A1455" s="4"/>
    </row>
    <row r="1456" spans="1:1" ht="13" x14ac:dyDescent="0.15">
      <c r="A1456" s="4"/>
    </row>
    <row r="1457" spans="1:1" ht="13" x14ac:dyDescent="0.15">
      <c r="A1457" s="4"/>
    </row>
    <row r="1458" spans="1:1" ht="13" x14ac:dyDescent="0.15">
      <c r="A1458" s="4"/>
    </row>
    <row r="1459" spans="1:1" ht="13" x14ac:dyDescent="0.15">
      <c r="A1459" s="4"/>
    </row>
    <row r="1460" spans="1:1" ht="13" x14ac:dyDescent="0.15">
      <c r="A1460" s="4"/>
    </row>
    <row r="1461" spans="1:1" ht="13" x14ac:dyDescent="0.15">
      <c r="A1461" s="4"/>
    </row>
    <row r="1462" spans="1:1" ht="13" x14ac:dyDescent="0.15">
      <c r="A1462" s="4"/>
    </row>
    <row r="1463" spans="1:1" ht="13" x14ac:dyDescent="0.15">
      <c r="A1463" s="4"/>
    </row>
    <row r="1464" spans="1:1" ht="13" x14ac:dyDescent="0.15">
      <c r="A1464" s="4"/>
    </row>
    <row r="1465" spans="1:1" ht="13" x14ac:dyDescent="0.15">
      <c r="A1465" s="4"/>
    </row>
    <row r="1466" spans="1:1" ht="13" x14ac:dyDescent="0.15">
      <c r="A1466" s="4"/>
    </row>
    <row r="1467" spans="1:1" ht="13" x14ac:dyDescent="0.15">
      <c r="A1467" s="4"/>
    </row>
    <row r="1468" spans="1:1" ht="13" x14ac:dyDescent="0.15">
      <c r="A1468" s="4"/>
    </row>
    <row r="1469" spans="1:1" ht="13" x14ac:dyDescent="0.15">
      <c r="A1469" s="4"/>
    </row>
    <row r="1470" spans="1:1" ht="13" x14ac:dyDescent="0.15">
      <c r="A1470" s="4"/>
    </row>
    <row r="1471" spans="1:1" ht="13" x14ac:dyDescent="0.15">
      <c r="A1471" s="4"/>
    </row>
    <row r="1472" spans="1:1" ht="13" x14ac:dyDescent="0.15">
      <c r="A1472" s="4"/>
    </row>
    <row r="1473" spans="1:1" ht="13" x14ac:dyDescent="0.15">
      <c r="A1473" s="4"/>
    </row>
    <row r="1474" spans="1:1" ht="13" x14ac:dyDescent="0.15">
      <c r="A1474" s="4"/>
    </row>
    <row r="1475" spans="1:1" ht="13" x14ac:dyDescent="0.15">
      <c r="A1475" s="4"/>
    </row>
    <row r="1476" spans="1:1" ht="13" x14ac:dyDescent="0.15">
      <c r="A1476" s="4"/>
    </row>
    <row r="1477" spans="1:1" ht="13" x14ac:dyDescent="0.15">
      <c r="A1477" s="4"/>
    </row>
    <row r="1478" spans="1:1" ht="13" x14ac:dyDescent="0.15">
      <c r="A1478" s="4"/>
    </row>
    <row r="1479" spans="1:1" ht="13" x14ac:dyDescent="0.15">
      <c r="A1479" s="4"/>
    </row>
    <row r="1480" spans="1:1" ht="13" x14ac:dyDescent="0.15">
      <c r="A1480" s="4"/>
    </row>
    <row r="1481" spans="1:1" ht="13" x14ac:dyDescent="0.15">
      <c r="A1481" s="4"/>
    </row>
    <row r="1482" spans="1:1" ht="13" x14ac:dyDescent="0.15">
      <c r="A1482" s="4"/>
    </row>
    <row r="1483" spans="1:1" ht="13" x14ac:dyDescent="0.15">
      <c r="A1483" s="4"/>
    </row>
    <row r="1484" spans="1:1" ht="13" x14ac:dyDescent="0.15">
      <c r="A1484" s="4"/>
    </row>
    <row r="1485" spans="1:1" ht="13" x14ac:dyDescent="0.15">
      <c r="A1485" s="4"/>
    </row>
    <row r="1486" spans="1:1" ht="13" x14ac:dyDescent="0.15">
      <c r="A1486" s="4"/>
    </row>
    <row r="1487" spans="1:1" ht="13" x14ac:dyDescent="0.15">
      <c r="A1487" s="4"/>
    </row>
    <row r="1488" spans="1:1" ht="13" x14ac:dyDescent="0.15">
      <c r="A1488" s="4"/>
    </row>
    <row r="1489" spans="1:1" ht="13" x14ac:dyDescent="0.15">
      <c r="A1489" s="4"/>
    </row>
    <row r="1490" spans="1:1" ht="13" x14ac:dyDescent="0.15">
      <c r="A1490" s="4"/>
    </row>
    <row r="1491" spans="1:1" ht="13" x14ac:dyDescent="0.15">
      <c r="A1491" s="4"/>
    </row>
    <row r="1492" spans="1:1" ht="13" x14ac:dyDescent="0.15">
      <c r="A1492" s="4"/>
    </row>
    <row r="1493" spans="1:1" ht="13" x14ac:dyDescent="0.15">
      <c r="A1493" s="4"/>
    </row>
    <row r="1494" spans="1:1" ht="13" x14ac:dyDescent="0.15">
      <c r="A1494" s="4"/>
    </row>
    <row r="1495" spans="1:1" ht="13" x14ac:dyDescent="0.15">
      <c r="A1495" s="4"/>
    </row>
    <row r="1496" spans="1:1" ht="13" x14ac:dyDescent="0.15">
      <c r="A1496" s="4"/>
    </row>
    <row r="1497" spans="1:1" ht="13" x14ac:dyDescent="0.15">
      <c r="A1497" s="4"/>
    </row>
    <row r="1498" spans="1:1" ht="13" x14ac:dyDescent="0.15">
      <c r="A1498" s="4"/>
    </row>
    <row r="1499" spans="1:1" ht="13" x14ac:dyDescent="0.15">
      <c r="A1499" s="4"/>
    </row>
    <row r="1500" spans="1:1" ht="13" x14ac:dyDescent="0.15">
      <c r="A1500" s="4"/>
    </row>
    <row r="1501" spans="1:1" ht="13" x14ac:dyDescent="0.15">
      <c r="A1501" s="4"/>
    </row>
    <row r="1502" spans="1:1" ht="13" x14ac:dyDescent="0.15">
      <c r="A1502" s="4"/>
    </row>
    <row r="1503" spans="1:1" ht="13" x14ac:dyDescent="0.15">
      <c r="A1503" s="4"/>
    </row>
    <row r="1504" spans="1:1" ht="13" x14ac:dyDescent="0.15">
      <c r="A1504" s="4"/>
    </row>
    <row r="1505" spans="1:1" ht="13" x14ac:dyDescent="0.15">
      <c r="A1505" s="4"/>
    </row>
    <row r="1506" spans="1:1" ht="13" x14ac:dyDescent="0.15">
      <c r="A1506" s="4"/>
    </row>
    <row r="1507" spans="1:1" ht="13" x14ac:dyDescent="0.15">
      <c r="A1507" s="4"/>
    </row>
    <row r="1508" spans="1:1" ht="13" x14ac:dyDescent="0.15">
      <c r="A1508" s="4"/>
    </row>
    <row r="1509" spans="1:1" ht="13" x14ac:dyDescent="0.15">
      <c r="A1509" s="4"/>
    </row>
    <row r="1510" spans="1:1" ht="13" x14ac:dyDescent="0.15">
      <c r="A1510" s="4"/>
    </row>
    <row r="1511" spans="1:1" ht="13" x14ac:dyDescent="0.15">
      <c r="A1511" s="4"/>
    </row>
    <row r="1512" spans="1:1" ht="13" x14ac:dyDescent="0.15">
      <c r="A1512" s="4"/>
    </row>
    <row r="1513" spans="1:1" ht="13" x14ac:dyDescent="0.15">
      <c r="A1513" s="4"/>
    </row>
    <row r="1514" spans="1:1" ht="13" x14ac:dyDescent="0.15">
      <c r="A1514" s="4"/>
    </row>
    <row r="1515" spans="1:1" ht="13" x14ac:dyDescent="0.15">
      <c r="A1515" s="4"/>
    </row>
    <row r="1516" spans="1:1" ht="13" x14ac:dyDescent="0.15">
      <c r="A1516" s="4"/>
    </row>
    <row r="1517" spans="1:1" ht="13" x14ac:dyDescent="0.15">
      <c r="A1517" s="4"/>
    </row>
    <row r="1518" spans="1:1" ht="13" x14ac:dyDescent="0.15">
      <c r="A1518" s="4"/>
    </row>
    <row r="1519" spans="1:1" ht="13" x14ac:dyDescent="0.15">
      <c r="A1519" s="4"/>
    </row>
    <row r="1520" spans="1:1" ht="13" x14ac:dyDescent="0.15">
      <c r="A1520" s="4"/>
    </row>
    <row r="1521" spans="1:1" ht="13" x14ac:dyDescent="0.15">
      <c r="A1521" s="4"/>
    </row>
    <row r="1522" spans="1:1" ht="13" x14ac:dyDescent="0.15">
      <c r="A1522" s="4"/>
    </row>
    <row r="1523" spans="1:1" ht="13" x14ac:dyDescent="0.15">
      <c r="A1523" s="4"/>
    </row>
    <row r="1524" spans="1:1" ht="13" x14ac:dyDescent="0.15">
      <c r="A1524" s="4"/>
    </row>
    <row r="1525" spans="1:1" ht="13" x14ac:dyDescent="0.15">
      <c r="A1525" s="4"/>
    </row>
    <row r="1526" spans="1:1" ht="13" x14ac:dyDescent="0.15">
      <c r="A1526" s="4"/>
    </row>
    <row r="1527" spans="1:1" ht="13" x14ac:dyDescent="0.15">
      <c r="A1527" s="4"/>
    </row>
    <row r="1528" spans="1:1" ht="13" x14ac:dyDescent="0.15">
      <c r="A1528" s="4"/>
    </row>
    <row r="1529" spans="1:1" ht="13" x14ac:dyDescent="0.15">
      <c r="A1529" s="4"/>
    </row>
    <row r="1530" spans="1:1" ht="13" x14ac:dyDescent="0.15">
      <c r="A1530" s="4"/>
    </row>
    <row r="1531" spans="1:1" ht="13" x14ac:dyDescent="0.15">
      <c r="A1531" s="4"/>
    </row>
    <row r="1532" spans="1:1" ht="13" x14ac:dyDescent="0.15">
      <c r="A1532" s="4"/>
    </row>
    <row r="1533" spans="1:1" ht="13" x14ac:dyDescent="0.15">
      <c r="A1533" s="4"/>
    </row>
    <row r="1534" spans="1:1" ht="13" x14ac:dyDescent="0.15">
      <c r="A1534" s="4"/>
    </row>
    <row r="1535" spans="1:1" ht="13" x14ac:dyDescent="0.15">
      <c r="A1535" s="4"/>
    </row>
    <row r="1536" spans="1:1" ht="13" x14ac:dyDescent="0.15">
      <c r="A1536" s="4"/>
    </row>
    <row r="1537" spans="1:1" ht="13" x14ac:dyDescent="0.15">
      <c r="A1537" s="4"/>
    </row>
    <row r="1538" spans="1:1" ht="13" x14ac:dyDescent="0.15">
      <c r="A1538" s="4"/>
    </row>
    <row r="1539" spans="1:1" ht="13" x14ac:dyDescent="0.15">
      <c r="A1539" s="4"/>
    </row>
    <row r="1540" spans="1:1" ht="13" x14ac:dyDescent="0.15">
      <c r="A1540" s="4"/>
    </row>
    <row r="1541" spans="1:1" ht="13" x14ac:dyDescent="0.15">
      <c r="A1541" s="4"/>
    </row>
    <row r="1542" spans="1:1" ht="13" x14ac:dyDescent="0.15">
      <c r="A1542" s="4"/>
    </row>
    <row r="1543" spans="1:1" ht="13" x14ac:dyDescent="0.15">
      <c r="A1543" s="4"/>
    </row>
    <row r="1544" spans="1:1" ht="13" x14ac:dyDescent="0.15">
      <c r="A1544" s="4"/>
    </row>
    <row r="1545" spans="1:1" ht="13" x14ac:dyDescent="0.15">
      <c r="A1545" s="4"/>
    </row>
    <row r="1546" spans="1:1" ht="13" x14ac:dyDescent="0.15">
      <c r="A1546" s="4"/>
    </row>
    <row r="1547" spans="1:1" ht="13" x14ac:dyDescent="0.15">
      <c r="A1547" s="4"/>
    </row>
    <row r="1548" spans="1:1" ht="13" x14ac:dyDescent="0.15">
      <c r="A1548" s="4"/>
    </row>
    <row r="1549" spans="1:1" ht="13" x14ac:dyDescent="0.15">
      <c r="A1549" s="4"/>
    </row>
    <row r="1550" spans="1:1" ht="13" x14ac:dyDescent="0.15">
      <c r="A1550" s="4"/>
    </row>
    <row r="1551" spans="1:1" ht="13" x14ac:dyDescent="0.15">
      <c r="A1551" s="4"/>
    </row>
    <row r="1552" spans="1:1" ht="13" x14ac:dyDescent="0.15">
      <c r="A1552" s="4"/>
    </row>
    <row r="1553" spans="1:1" ht="13" x14ac:dyDescent="0.15">
      <c r="A1553" s="4"/>
    </row>
    <row r="1554" spans="1:1" ht="13" x14ac:dyDescent="0.15">
      <c r="A1554" s="4"/>
    </row>
    <row r="1555" spans="1:1" ht="13" x14ac:dyDescent="0.15">
      <c r="A1555" s="4"/>
    </row>
    <row r="1556" spans="1:1" ht="13" x14ac:dyDescent="0.15">
      <c r="A1556" s="4"/>
    </row>
    <row r="1557" spans="1:1" ht="13" x14ac:dyDescent="0.15">
      <c r="A1557" s="4"/>
    </row>
    <row r="1558" spans="1:1" ht="13" x14ac:dyDescent="0.15">
      <c r="A1558" s="4"/>
    </row>
    <row r="1559" spans="1:1" ht="13" x14ac:dyDescent="0.15">
      <c r="A1559" s="4"/>
    </row>
    <row r="1560" spans="1:1" ht="13" x14ac:dyDescent="0.15">
      <c r="A1560" s="4"/>
    </row>
    <row r="1561" spans="1:1" ht="13" x14ac:dyDescent="0.15">
      <c r="A1561" s="4"/>
    </row>
    <row r="1562" spans="1:1" ht="13" x14ac:dyDescent="0.15">
      <c r="A1562" s="4"/>
    </row>
    <row r="1563" spans="1:1" ht="13" x14ac:dyDescent="0.15">
      <c r="A1563" s="4"/>
    </row>
    <row r="1564" spans="1:1" ht="13" x14ac:dyDescent="0.15">
      <c r="A1564" s="4"/>
    </row>
    <row r="1565" spans="1:1" ht="13" x14ac:dyDescent="0.15">
      <c r="A1565" s="4"/>
    </row>
    <row r="1566" spans="1:1" ht="13" x14ac:dyDescent="0.15">
      <c r="A1566" s="4"/>
    </row>
    <row r="1567" spans="1:1" ht="13" x14ac:dyDescent="0.15">
      <c r="A1567" s="4"/>
    </row>
    <row r="1568" spans="1:1" ht="13" x14ac:dyDescent="0.15">
      <c r="A1568" s="4"/>
    </row>
    <row r="1569" spans="1:1" ht="13" x14ac:dyDescent="0.15">
      <c r="A1569" s="4"/>
    </row>
    <row r="1570" spans="1:1" ht="13" x14ac:dyDescent="0.15">
      <c r="A1570" s="4"/>
    </row>
    <row r="1571" spans="1:1" ht="13" x14ac:dyDescent="0.15">
      <c r="A1571" s="4"/>
    </row>
    <row r="1572" spans="1:1" ht="13" x14ac:dyDescent="0.15">
      <c r="A1572" s="4"/>
    </row>
    <row r="1573" spans="1:1" ht="13" x14ac:dyDescent="0.15">
      <c r="A1573" s="4"/>
    </row>
    <row r="1574" spans="1:1" ht="13" x14ac:dyDescent="0.15">
      <c r="A1574" s="4"/>
    </row>
    <row r="1575" spans="1:1" ht="13" x14ac:dyDescent="0.15">
      <c r="A1575" s="4"/>
    </row>
    <row r="1576" spans="1:1" ht="13" x14ac:dyDescent="0.15">
      <c r="A1576" s="4"/>
    </row>
    <row r="1577" spans="1:1" ht="13" x14ac:dyDescent="0.15">
      <c r="A1577" s="4"/>
    </row>
    <row r="1578" spans="1:1" ht="13" x14ac:dyDescent="0.15">
      <c r="A1578" s="4"/>
    </row>
    <row r="1579" spans="1:1" ht="13" x14ac:dyDescent="0.15">
      <c r="A1579" s="4"/>
    </row>
    <row r="1580" spans="1:1" ht="13" x14ac:dyDescent="0.15">
      <c r="A1580" s="4"/>
    </row>
    <row r="1581" spans="1:1" ht="13" x14ac:dyDescent="0.15">
      <c r="A1581" s="4"/>
    </row>
    <row r="1582" spans="1:1" ht="13" x14ac:dyDescent="0.15">
      <c r="A1582" s="4"/>
    </row>
    <row r="1583" spans="1:1" ht="13" x14ac:dyDescent="0.15">
      <c r="A1583" s="4"/>
    </row>
    <row r="1584" spans="1:1" ht="13" x14ac:dyDescent="0.15">
      <c r="A1584" s="4"/>
    </row>
    <row r="1585" spans="1:1" ht="13" x14ac:dyDescent="0.15">
      <c r="A1585" s="4"/>
    </row>
    <row r="1586" spans="1:1" ht="13" x14ac:dyDescent="0.15">
      <c r="A1586" s="4"/>
    </row>
    <row r="1587" spans="1:1" ht="13" x14ac:dyDescent="0.15">
      <c r="A1587" s="4"/>
    </row>
    <row r="1588" spans="1:1" ht="13" x14ac:dyDescent="0.15">
      <c r="A1588" s="4"/>
    </row>
    <row r="1589" spans="1:1" ht="13" x14ac:dyDescent="0.15">
      <c r="A1589" s="4"/>
    </row>
    <row r="1590" spans="1:1" ht="13" x14ac:dyDescent="0.15">
      <c r="A1590" s="4"/>
    </row>
    <row r="1591" spans="1:1" ht="13" x14ac:dyDescent="0.15">
      <c r="A1591" s="4"/>
    </row>
    <row r="1592" spans="1:1" ht="13" x14ac:dyDescent="0.15">
      <c r="A1592" s="4"/>
    </row>
    <row r="1593" spans="1:1" ht="13" x14ac:dyDescent="0.15">
      <c r="A1593" s="4"/>
    </row>
    <row r="1594" spans="1:1" ht="13" x14ac:dyDescent="0.15">
      <c r="A1594" s="4"/>
    </row>
    <row r="1595" spans="1:1" ht="13" x14ac:dyDescent="0.15">
      <c r="A1595" s="4"/>
    </row>
    <row r="1596" spans="1:1" ht="13" x14ac:dyDescent="0.15">
      <c r="A1596" s="4"/>
    </row>
    <row r="1597" spans="1:1" ht="13" x14ac:dyDescent="0.15">
      <c r="A1597" s="4"/>
    </row>
    <row r="1598" spans="1:1" ht="13" x14ac:dyDescent="0.15">
      <c r="A1598" s="4"/>
    </row>
    <row r="1599" spans="1:1" ht="13" x14ac:dyDescent="0.15">
      <c r="A1599" s="4"/>
    </row>
    <row r="1600" spans="1:1" ht="13" x14ac:dyDescent="0.15">
      <c r="A1600" s="4"/>
    </row>
    <row r="1601" spans="1:1" ht="13" x14ac:dyDescent="0.15">
      <c r="A1601" s="4"/>
    </row>
    <row r="1602" spans="1:1" ht="13" x14ac:dyDescent="0.15">
      <c r="A1602" s="4"/>
    </row>
    <row r="1603" spans="1:1" ht="13" x14ac:dyDescent="0.15">
      <c r="A1603" s="4"/>
    </row>
    <row r="1604" spans="1:1" ht="13" x14ac:dyDescent="0.15">
      <c r="A1604" s="4"/>
    </row>
    <row r="1605" spans="1:1" ht="13" x14ac:dyDescent="0.15">
      <c r="A1605" s="4"/>
    </row>
    <row r="1606" spans="1:1" ht="13" x14ac:dyDescent="0.15">
      <c r="A1606" s="4"/>
    </row>
    <row r="1607" spans="1:1" ht="13" x14ac:dyDescent="0.15">
      <c r="A1607" s="4"/>
    </row>
    <row r="1608" spans="1:1" ht="13" x14ac:dyDescent="0.15">
      <c r="A1608" s="4"/>
    </row>
    <row r="1609" spans="1:1" ht="13" x14ac:dyDescent="0.15">
      <c r="A1609" s="4"/>
    </row>
    <row r="1610" spans="1:1" ht="13" x14ac:dyDescent="0.15">
      <c r="A1610" s="4"/>
    </row>
    <row r="1611" spans="1:1" ht="13" x14ac:dyDescent="0.15">
      <c r="A1611" s="4"/>
    </row>
    <row r="1612" spans="1:1" ht="13" x14ac:dyDescent="0.15">
      <c r="A1612" s="4"/>
    </row>
    <row r="1613" spans="1:1" ht="13" x14ac:dyDescent="0.15">
      <c r="A1613" s="4"/>
    </row>
    <row r="1614" spans="1:1" ht="13" x14ac:dyDescent="0.15">
      <c r="A1614" s="4"/>
    </row>
    <row r="1615" spans="1:1" ht="13" x14ac:dyDescent="0.15">
      <c r="A1615" s="4"/>
    </row>
    <row r="1616" spans="1:1" ht="13" x14ac:dyDescent="0.15">
      <c r="A1616" s="4"/>
    </row>
    <row r="1617" spans="1:1" ht="13" x14ac:dyDescent="0.15">
      <c r="A1617" s="4"/>
    </row>
    <row r="1618" spans="1:1" ht="13" x14ac:dyDescent="0.15">
      <c r="A1618" s="4"/>
    </row>
    <row r="1619" spans="1:1" ht="13" x14ac:dyDescent="0.15">
      <c r="A1619" s="4"/>
    </row>
    <row r="1620" spans="1:1" ht="13" x14ac:dyDescent="0.15">
      <c r="A1620" s="4"/>
    </row>
    <row r="1621" spans="1:1" ht="13" x14ac:dyDescent="0.15">
      <c r="A1621" s="4"/>
    </row>
    <row r="1622" spans="1:1" ht="13" x14ac:dyDescent="0.15">
      <c r="A1622" s="4"/>
    </row>
    <row r="1623" spans="1:1" ht="13" x14ac:dyDescent="0.15">
      <c r="A1623" s="4"/>
    </row>
    <row r="1624" spans="1:1" ht="13" x14ac:dyDescent="0.15">
      <c r="A1624" s="4"/>
    </row>
    <row r="1625" spans="1:1" ht="13" x14ac:dyDescent="0.15">
      <c r="A1625" s="4"/>
    </row>
    <row r="1626" spans="1:1" ht="13" x14ac:dyDescent="0.15">
      <c r="A1626" s="4"/>
    </row>
    <row r="1627" spans="1:1" ht="13" x14ac:dyDescent="0.15">
      <c r="A1627" s="4"/>
    </row>
    <row r="1628" spans="1:1" ht="13" x14ac:dyDescent="0.15">
      <c r="A1628" s="4"/>
    </row>
    <row r="1629" spans="1:1" ht="13" x14ac:dyDescent="0.15">
      <c r="A1629" s="4"/>
    </row>
    <row r="1630" spans="1:1" ht="13" x14ac:dyDescent="0.15">
      <c r="A1630" s="4"/>
    </row>
    <row r="1631" spans="1:1" ht="13" x14ac:dyDescent="0.15">
      <c r="A1631" s="4"/>
    </row>
    <row r="1632" spans="1:1" ht="13" x14ac:dyDescent="0.15">
      <c r="A1632" s="4"/>
    </row>
    <row r="1633" spans="1:1" ht="13" x14ac:dyDescent="0.15">
      <c r="A1633" s="4"/>
    </row>
    <row r="1634" spans="1:1" ht="13" x14ac:dyDescent="0.15">
      <c r="A1634" s="4"/>
    </row>
    <row r="1635" spans="1:1" ht="13" x14ac:dyDescent="0.15">
      <c r="A1635" s="4"/>
    </row>
    <row r="1636" spans="1:1" ht="13" x14ac:dyDescent="0.15">
      <c r="A1636" s="4"/>
    </row>
    <row r="1637" spans="1:1" ht="13" x14ac:dyDescent="0.15">
      <c r="A1637" s="4"/>
    </row>
    <row r="1638" spans="1:1" ht="13" x14ac:dyDescent="0.15">
      <c r="A1638" s="4"/>
    </row>
    <row r="1639" spans="1:1" ht="13" x14ac:dyDescent="0.15">
      <c r="A1639" s="4"/>
    </row>
    <row r="1640" spans="1:1" ht="13" x14ac:dyDescent="0.15">
      <c r="A1640" s="4"/>
    </row>
    <row r="1641" spans="1:1" ht="13" x14ac:dyDescent="0.15">
      <c r="A1641" s="4"/>
    </row>
    <row r="1642" spans="1:1" ht="13" x14ac:dyDescent="0.15">
      <c r="A1642" s="4"/>
    </row>
    <row r="1643" spans="1:1" ht="13" x14ac:dyDescent="0.15">
      <c r="A1643" s="4"/>
    </row>
    <row r="1644" spans="1:1" ht="13" x14ac:dyDescent="0.15">
      <c r="A1644" s="4"/>
    </row>
    <row r="1645" spans="1:1" ht="13" x14ac:dyDescent="0.15">
      <c r="A1645" s="4"/>
    </row>
    <row r="1646" spans="1:1" ht="13" x14ac:dyDescent="0.15">
      <c r="A1646" s="4"/>
    </row>
    <row r="1647" spans="1:1" ht="13" x14ac:dyDescent="0.15">
      <c r="A1647" s="4"/>
    </row>
    <row r="1648" spans="1:1" ht="13" x14ac:dyDescent="0.15">
      <c r="A1648" s="4"/>
    </row>
    <row r="1649" spans="1:1" ht="13" x14ac:dyDescent="0.15">
      <c r="A1649" s="4"/>
    </row>
    <row r="1650" spans="1:1" ht="13" x14ac:dyDescent="0.15">
      <c r="A1650" s="4"/>
    </row>
    <row r="1651" spans="1:1" ht="13" x14ac:dyDescent="0.15">
      <c r="A1651" s="4"/>
    </row>
    <row r="1652" spans="1:1" ht="13" x14ac:dyDescent="0.15">
      <c r="A1652" s="4"/>
    </row>
    <row r="1653" spans="1:1" ht="13" x14ac:dyDescent="0.15">
      <c r="A1653" s="4"/>
    </row>
    <row r="1654" spans="1:1" ht="13" x14ac:dyDescent="0.15">
      <c r="A1654" s="4"/>
    </row>
    <row r="1655" spans="1:1" ht="13" x14ac:dyDescent="0.15">
      <c r="A1655" s="4"/>
    </row>
    <row r="1656" spans="1:1" ht="13" x14ac:dyDescent="0.15">
      <c r="A1656" s="4"/>
    </row>
    <row r="1657" spans="1:1" ht="13" x14ac:dyDescent="0.15">
      <c r="A1657" s="4"/>
    </row>
    <row r="1658" spans="1:1" ht="13" x14ac:dyDescent="0.15">
      <c r="A1658" s="4"/>
    </row>
    <row r="1659" spans="1:1" ht="13" x14ac:dyDescent="0.15">
      <c r="A1659" s="4"/>
    </row>
    <row r="1660" spans="1:1" ht="13" x14ac:dyDescent="0.15">
      <c r="A1660" s="4"/>
    </row>
    <row r="1661" spans="1:1" ht="13" x14ac:dyDescent="0.15">
      <c r="A1661" s="4"/>
    </row>
    <row r="1662" spans="1:1" ht="13" x14ac:dyDescent="0.15">
      <c r="A1662" s="4"/>
    </row>
    <row r="1663" spans="1:1" ht="13" x14ac:dyDescent="0.15">
      <c r="A1663" s="4"/>
    </row>
    <row r="1664" spans="1:1" ht="13" x14ac:dyDescent="0.15">
      <c r="A1664" s="4"/>
    </row>
    <row r="1665" spans="1:1" ht="13" x14ac:dyDescent="0.15">
      <c r="A1665" s="4"/>
    </row>
    <row r="1666" spans="1:1" ht="13" x14ac:dyDescent="0.15">
      <c r="A1666" s="4"/>
    </row>
    <row r="1667" spans="1:1" ht="13" x14ac:dyDescent="0.15">
      <c r="A1667" s="4"/>
    </row>
    <row r="1668" spans="1:1" ht="13" x14ac:dyDescent="0.15">
      <c r="A1668" s="4"/>
    </row>
    <row r="1669" spans="1:1" ht="13" x14ac:dyDescent="0.15">
      <c r="A1669" s="4"/>
    </row>
    <row r="1670" spans="1:1" ht="13" x14ac:dyDescent="0.15">
      <c r="A1670" s="4"/>
    </row>
    <row r="1671" spans="1:1" ht="13" x14ac:dyDescent="0.15">
      <c r="A1671" s="4"/>
    </row>
    <row r="1672" spans="1:1" ht="13" x14ac:dyDescent="0.15">
      <c r="A1672" s="4"/>
    </row>
    <row r="1673" spans="1:1" ht="13" x14ac:dyDescent="0.15">
      <c r="A1673" s="4"/>
    </row>
    <row r="1674" spans="1:1" ht="13" x14ac:dyDescent="0.15">
      <c r="A1674" s="4"/>
    </row>
    <row r="1675" spans="1:1" ht="13" x14ac:dyDescent="0.15">
      <c r="A1675" s="4"/>
    </row>
    <row r="1676" spans="1:1" ht="13" x14ac:dyDescent="0.15">
      <c r="A1676" s="4"/>
    </row>
    <row r="1677" spans="1:1" ht="13" x14ac:dyDescent="0.15">
      <c r="A1677" s="4"/>
    </row>
    <row r="1678" spans="1:1" ht="13" x14ac:dyDescent="0.15">
      <c r="A1678" s="4"/>
    </row>
    <row r="1679" spans="1:1" ht="13" x14ac:dyDescent="0.15">
      <c r="A1679" s="4"/>
    </row>
    <row r="1680" spans="1:1" ht="13" x14ac:dyDescent="0.15">
      <c r="A1680" s="4"/>
    </row>
    <row r="1681" spans="1:1" ht="13" x14ac:dyDescent="0.15">
      <c r="A1681" s="4"/>
    </row>
    <row r="1682" spans="1:1" ht="13" x14ac:dyDescent="0.15">
      <c r="A1682" s="4"/>
    </row>
    <row r="1683" spans="1:1" ht="13" x14ac:dyDescent="0.15">
      <c r="A1683" s="4"/>
    </row>
    <row r="1684" spans="1:1" ht="13" x14ac:dyDescent="0.15">
      <c r="A1684" s="4"/>
    </row>
    <row r="1685" spans="1:1" ht="13" x14ac:dyDescent="0.15">
      <c r="A1685" s="4"/>
    </row>
    <row r="1686" spans="1:1" ht="13" x14ac:dyDescent="0.15">
      <c r="A1686" s="4"/>
    </row>
    <row r="1687" spans="1:1" ht="13" x14ac:dyDescent="0.15">
      <c r="A1687" s="4"/>
    </row>
    <row r="1688" spans="1:1" ht="13" x14ac:dyDescent="0.15">
      <c r="A1688" s="4"/>
    </row>
    <row r="1689" spans="1:1" ht="13" x14ac:dyDescent="0.15">
      <c r="A1689" s="4"/>
    </row>
    <row r="1690" spans="1:1" ht="13" x14ac:dyDescent="0.15">
      <c r="A1690" s="4"/>
    </row>
    <row r="1691" spans="1:1" ht="13" x14ac:dyDescent="0.15">
      <c r="A1691" s="4"/>
    </row>
    <row r="1692" spans="1:1" ht="13" x14ac:dyDescent="0.15">
      <c r="A1692" s="4"/>
    </row>
    <row r="1693" spans="1:1" ht="13" x14ac:dyDescent="0.15">
      <c r="A1693" s="4"/>
    </row>
    <row r="1694" spans="1:1" ht="13" x14ac:dyDescent="0.15">
      <c r="A1694" s="4"/>
    </row>
    <row r="1695" spans="1:1" ht="13" x14ac:dyDescent="0.15">
      <c r="A1695" s="4"/>
    </row>
    <row r="1696" spans="1:1" ht="13" x14ac:dyDescent="0.15">
      <c r="A1696" s="4"/>
    </row>
    <row r="1697" spans="1:1" ht="13" x14ac:dyDescent="0.15">
      <c r="A1697" s="4"/>
    </row>
    <row r="1698" spans="1:1" ht="13" x14ac:dyDescent="0.15">
      <c r="A1698" s="4"/>
    </row>
    <row r="1699" spans="1:1" ht="13" x14ac:dyDescent="0.15">
      <c r="A1699" s="4"/>
    </row>
    <row r="1700" spans="1:1" ht="13" x14ac:dyDescent="0.15">
      <c r="A1700" s="4"/>
    </row>
    <row r="1701" spans="1:1" ht="13" x14ac:dyDescent="0.15">
      <c r="A1701" s="4"/>
    </row>
    <row r="1702" spans="1:1" ht="13" x14ac:dyDescent="0.15">
      <c r="A1702" s="4"/>
    </row>
    <row r="1703" spans="1:1" ht="13" x14ac:dyDescent="0.15">
      <c r="A1703" s="4"/>
    </row>
    <row r="1704" spans="1:1" ht="13" x14ac:dyDescent="0.15">
      <c r="A1704" s="4"/>
    </row>
    <row r="1705" spans="1:1" ht="13" x14ac:dyDescent="0.15">
      <c r="A1705" s="4"/>
    </row>
    <row r="1706" spans="1:1" ht="13" x14ac:dyDescent="0.15">
      <c r="A1706" s="4"/>
    </row>
    <row r="1707" spans="1:1" ht="13" x14ac:dyDescent="0.15">
      <c r="A1707" s="4"/>
    </row>
    <row r="1708" spans="1:1" ht="13" x14ac:dyDescent="0.15">
      <c r="A1708" s="4"/>
    </row>
    <row r="1709" spans="1:1" ht="13" x14ac:dyDescent="0.15">
      <c r="A1709" s="4"/>
    </row>
    <row r="1710" spans="1:1" ht="13" x14ac:dyDescent="0.15">
      <c r="A1710" s="4"/>
    </row>
    <row r="1711" spans="1:1" ht="13" x14ac:dyDescent="0.15">
      <c r="A1711" s="4"/>
    </row>
    <row r="1712" spans="1:1" ht="13" x14ac:dyDescent="0.15">
      <c r="A1712" s="4"/>
    </row>
    <row r="1713" spans="1:1" ht="13" x14ac:dyDescent="0.15">
      <c r="A1713" s="4"/>
    </row>
    <row r="1714" spans="1:1" ht="13" x14ac:dyDescent="0.15">
      <c r="A1714" s="4"/>
    </row>
    <row r="1715" spans="1:1" ht="13" x14ac:dyDescent="0.15">
      <c r="A1715" s="4"/>
    </row>
    <row r="1716" spans="1:1" ht="13" x14ac:dyDescent="0.15">
      <c r="A1716" s="4"/>
    </row>
    <row r="1717" spans="1:1" ht="13" x14ac:dyDescent="0.15">
      <c r="A1717" s="4"/>
    </row>
    <row r="1718" spans="1:1" ht="13" x14ac:dyDescent="0.15">
      <c r="A1718" s="4"/>
    </row>
    <row r="1719" spans="1:1" ht="13" x14ac:dyDescent="0.15">
      <c r="A1719" s="4"/>
    </row>
    <row r="1720" spans="1:1" ht="13" x14ac:dyDescent="0.15">
      <c r="A1720" s="4"/>
    </row>
    <row r="1721" spans="1:1" ht="13" x14ac:dyDescent="0.15">
      <c r="A1721" s="4"/>
    </row>
    <row r="1722" spans="1:1" ht="13" x14ac:dyDescent="0.15">
      <c r="A1722" s="4"/>
    </row>
    <row r="1723" spans="1:1" ht="13" x14ac:dyDescent="0.15">
      <c r="A1723" s="4"/>
    </row>
    <row r="1724" spans="1:1" ht="13" x14ac:dyDescent="0.15">
      <c r="A1724" s="4"/>
    </row>
    <row r="1725" spans="1:1" ht="13" x14ac:dyDescent="0.15">
      <c r="A1725" s="4"/>
    </row>
    <row r="1726" spans="1:1" ht="13" x14ac:dyDescent="0.15">
      <c r="A1726" s="4"/>
    </row>
    <row r="1727" spans="1:1" ht="13" x14ac:dyDescent="0.15">
      <c r="A1727" s="4"/>
    </row>
    <row r="1728" spans="1:1" ht="13" x14ac:dyDescent="0.15">
      <c r="A1728" s="4"/>
    </row>
    <row r="1729" spans="1:1" ht="13" x14ac:dyDescent="0.15">
      <c r="A1729" s="4"/>
    </row>
    <row r="1730" spans="1:1" ht="13" x14ac:dyDescent="0.15">
      <c r="A1730" s="4"/>
    </row>
    <row r="1731" spans="1:1" ht="13" x14ac:dyDescent="0.15">
      <c r="A1731" s="4"/>
    </row>
    <row r="1732" spans="1:1" ht="13" x14ac:dyDescent="0.15">
      <c r="A1732" s="4"/>
    </row>
    <row r="1733" spans="1:1" ht="13" x14ac:dyDescent="0.15">
      <c r="A1733" s="4"/>
    </row>
    <row r="1734" spans="1:1" ht="13" x14ac:dyDescent="0.15">
      <c r="A1734" s="4"/>
    </row>
    <row r="1735" spans="1:1" ht="13" x14ac:dyDescent="0.15">
      <c r="A1735" s="4"/>
    </row>
    <row r="1736" spans="1:1" ht="13" x14ac:dyDescent="0.15">
      <c r="A1736" s="4"/>
    </row>
    <row r="1737" spans="1:1" ht="13" x14ac:dyDescent="0.15">
      <c r="A1737" s="4"/>
    </row>
    <row r="1738" spans="1:1" ht="13" x14ac:dyDescent="0.15">
      <c r="A1738" s="4"/>
    </row>
    <row r="1739" spans="1:1" ht="13" x14ac:dyDescent="0.15">
      <c r="A1739" s="4"/>
    </row>
    <row r="1740" spans="1:1" ht="13" x14ac:dyDescent="0.15">
      <c r="A1740" s="4"/>
    </row>
    <row r="1741" spans="1:1" ht="13" x14ac:dyDescent="0.15">
      <c r="A1741" s="4"/>
    </row>
    <row r="1742" spans="1:1" ht="13" x14ac:dyDescent="0.15">
      <c r="A1742" s="4"/>
    </row>
    <row r="1743" spans="1:1" ht="13" x14ac:dyDescent="0.15">
      <c r="A1743" s="4"/>
    </row>
    <row r="1744" spans="1:1" ht="13" x14ac:dyDescent="0.15">
      <c r="A1744" s="4"/>
    </row>
    <row r="1745" spans="1:1" ht="13" x14ac:dyDescent="0.15">
      <c r="A1745" s="4"/>
    </row>
    <row r="1746" spans="1:1" ht="13" x14ac:dyDescent="0.15">
      <c r="A1746" s="4"/>
    </row>
    <row r="1747" spans="1:1" ht="13" x14ac:dyDescent="0.15">
      <c r="A1747" s="4"/>
    </row>
    <row r="1748" spans="1:1" ht="13" x14ac:dyDescent="0.15">
      <c r="A1748" s="4"/>
    </row>
    <row r="1749" spans="1:1" ht="13" x14ac:dyDescent="0.15">
      <c r="A1749" s="4"/>
    </row>
    <row r="1750" spans="1:1" ht="13" x14ac:dyDescent="0.15">
      <c r="A1750" s="4"/>
    </row>
    <row r="1751" spans="1:1" ht="13" x14ac:dyDescent="0.15">
      <c r="A1751" s="4"/>
    </row>
    <row r="1752" spans="1:1" ht="13" x14ac:dyDescent="0.15">
      <c r="A1752" s="4"/>
    </row>
    <row r="1753" spans="1:1" ht="13" x14ac:dyDescent="0.15">
      <c r="A1753" s="4"/>
    </row>
    <row r="1754" spans="1:1" ht="13" x14ac:dyDescent="0.15">
      <c r="A1754" s="4"/>
    </row>
    <row r="1755" spans="1:1" ht="13" x14ac:dyDescent="0.15">
      <c r="A1755" s="4"/>
    </row>
    <row r="1756" spans="1:1" ht="13" x14ac:dyDescent="0.15">
      <c r="A1756" s="4"/>
    </row>
    <row r="1757" spans="1:1" ht="13" x14ac:dyDescent="0.15">
      <c r="A1757" s="4"/>
    </row>
    <row r="1758" spans="1:1" ht="13" x14ac:dyDescent="0.15">
      <c r="A1758" s="4"/>
    </row>
    <row r="1759" spans="1:1" ht="13" x14ac:dyDescent="0.15">
      <c r="A1759" s="4"/>
    </row>
    <row r="1760" spans="1:1" ht="13" x14ac:dyDescent="0.15">
      <c r="A1760" s="4"/>
    </row>
    <row r="1761" spans="1:1" ht="13" x14ac:dyDescent="0.15">
      <c r="A1761" s="4"/>
    </row>
    <row r="1762" spans="1:1" ht="13" x14ac:dyDescent="0.15">
      <c r="A1762" s="4"/>
    </row>
    <row r="1763" spans="1:1" ht="13" x14ac:dyDescent="0.15">
      <c r="A1763" s="4"/>
    </row>
    <row r="1764" spans="1:1" ht="13" x14ac:dyDescent="0.15">
      <c r="A1764" s="4"/>
    </row>
    <row r="1765" spans="1:1" ht="13" x14ac:dyDescent="0.15">
      <c r="A1765" s="4"/>
    </row>
    <row r="1766" spans="1:1" ht="13" x14ac:dyDescent="0.15">
      <c r="A1766" s="4"/>
    </row>
    <row r="1767" spans="1:1" ht="13" x14ac:dyDescent="0.15">
      <c r="A1767" s="4"/>
    </row>
    <row r="1768" spans="1:1" ht="13" x14ac:dyDescent="0.15">
      <c r="A1768" s="4"/>
    </row>
    <row r="1769" spans="1:1" ht="13" x14ac:dyDescent="0.15">
      <c r="A1769" s="4"/>
    </row>
    <row r="1770" spans="1:1" ht="13" x14ac:dyDescent="0.15">
      <c r="A1770" s="4"/>
    </row>
    <row r="1771" spans="1:1" ht="13" x14ac:dyDescent="0.15">
      <c r="A1771" s="4"/>
    </row>
    <row r="1772" spans="1:1" ht="13" x14ac:dyDescent="0.15">
      <c r="A1772" s="4"/>
    </row>
    <row r="1773" spans="1:1" ht="13" x14ac:dyDescent="0.15">
      <c r="A1773" s="4"/>
    </row>
    <row r="1774" spans="1:1" ht="13" x14ac:dyDescent="0.15">
      <c r="A1774" s="4"/>
    </row>
    <row r="1775" spans="1:1" ht="13" x14ac:dyDescent="0.15">
      <c r="A1775" s="4"/>
    </row>
    <row r="1776" spans="1:1" ht="13" x14ac:dyDescent="0.15">
      <c r="A1776" s="4"/>
    </row>
    <row r="1777" spans="1:1" ht="13" x14ac:dyDescent="0.15">
      <c r="A1777" s="4"/>
    </row>
    <row r="1778" spans="1:1" ht="13" x14ac:dyDescent="0.15">
      <c r="A1778" s="4"/>
    </row>
    <row r="1779" spans="1:1" ht="13" x14ac:dyDescent="0.15">
      <c r="A1779" s="4"/>
    </row>
    <row r="1780" spans="1:1" ht="13" x14ac:dyDescent="0.15">
      <c r="A1780" s="4"/>
    </row>
    <row r="1781" spans="1:1" ht="13" x14ac:dyDescent="0.15">
      <c r="A1781" s="4"/>
    </row>
    <row r="1782" spans="1:1" ht="13" x14ac:dyDescent="0.15">
      <c r="A1782" s="4"/>
    </row>
    <row r="1783" spans="1:1" ht="13" x14ac:dyDescent="0.15">
      <c r="A1783" s="4"/>
    </row>
    <row r="1784" spans="1:1" ht="13" x14ac:dyDescent="0.15">
      <c r="A1784" s="4"/>
    </row>
    <row r="1785" spans="1:1" ht="13" x14ac:dyDescent="0.15">
      <c r="A1785" s="4"/>
    </row>
    <row r="1786" spans="1:1" ht="13" x14ac:dyDescent="0.15">
      <c r="A1786" s="4"/>
    </row>
    <row r="1787" spans="1:1" ht="13" x14ac:dyDescent="0.15">
      <c r="A1787" s="4"/>
    </row>
    <row r="1788" spans="1:1" ht="13" x14ac:dyDescent="0.15">
      <c r="A1788" s="4"/>
    </row>
    <row r="1789" spans="1:1" ht="13" x14ac:dyDescent="0.15">
      <c r="A1789" s="4"/>
    </row>
    <row r="1790" spans="1:1" ht="13" x14ac:dyDescent="0.15">
      <c r="A1790" s="4"/>
    </row>
    <row r="1791" spans="1:1" ht="13" x14ac:dyDescent="0.15">
      <c r="A1791" s="4"/>
    </row>
    <row r="1792" spans="1:1" ht="13" x14ac:dyDescent="0.15">
      <c r="A1792" s="4"/>
    </row>
    <row r="1793" spans="1:1" ht="13" x14ac:dyDescent="0.15">
      <c r="A1793" s="4"/>
    </row>
    <row r="1794" spans="1:1" ht="13" x14ac:dyDescent="0.15">
      <c r="A1794" s="4"/>
    </row>
    <row r="1795" spans="1:1" ht="13" x14ac:dyDescent="0.15">
      <c r="A1795" s="4"/>
    </row>
    <row r="1796" spans="1:1" ht="13" x14ac:dyDescent="0.15">
      <c r="A1796" s="4"/>
    </row>
    <row r="1797" spans="1:1" ht="13" x14ac:dyDescent="0.15">
      <c r="A1797" s="4"/>
    </row>
    <row r="1798" spans="1:1" ht="13" x14ac:dyDescent="0.15">
      <c r="A1798" s="4"/>
    </row>
    <row r="1799" spans="1:1" ht="13" x14ac:dyDescent="0.15">
      <c r="A1799" s="4"/>
    </row>
    <row r="1800" spans="1:1" ht="13" x14ac:dyDescent="0.15">
      <c r="A1800" s="4"/>
    </row>
    <row r="1801" spans="1:1" ht="13" x14ac:dyDescent="0.15">
      <c r="A1801" s="4"/>
    </row>
    <row r="1802" spans="1:1" ht="13" x14ac:dyDescent="0.15">
      <c r="A1802" s="4"/>
    </row>
    <row r="1803" spans="1:1" ht="13" x14ac:dyDescent="0.15">
      <c r="A1803" s="4"/>
    </row>
    <row r="1804" spans="1:1" ht="13" x14ac:dyDescent="0.15">
      <c r="A1804" s="4"/>
    </row>
    <row r="1805" spans="1:1" ht="13" x14ac:dyDescent="0.15">
      <c r="A1805" s="4"/>
    </row>
    <row r="1806" spans="1:1" ht="13" x14ac:dyDescent="0.15">
      <c r="A1806" s="4"/>
    </row>
    <row r="1807" spans="1:1" ht="13" x14ac:dyDescent="0.15">
      <c r="A1807" s="4"/>
    </row>
    <row r="1808" spans="1:1" ht="13" x14ac:dyDescent="0.15">
      <c r="A1808" s="4"/>
    </row>
    <row r="1809" spans="1:1" ht="13" x14ac:dyDescent="0.15">
      <c r="A1809" s="4"/>
    </row>
    <row r="1810" spans="1:1" ht="13" x14ac:dyDescent="0.15">
      <c r="A1810" s="4"/>
    </row>
    <row r="1811" spans="1:1" ht="13" x14ac:dyDescent="0.15">
      <c r="A1811" s="4"/>
    </row>
    <row r="1812" spans="1:1" ht="13" x14ac:dyDescent="0.15">
      <c r="A1812" s="4"/>
    </row>
    <row r="1813" spans="1:1" ht="13" x14ac:dyDescent="0.15">
      <c r="A1813" s="4"/>
    </row>
    <row r="1814" spans="1:1" ht="13" x14ac:dyDescent="0.15">
      <c r="A1814" s="4"/>
    </row>
    <row r="1815" spans="1:1" ht="13" x14ac:dyDescent="0.15">
      <c r="A1815" s="4"/>
    </row>
    <row r="1816" spans="1:1" ht="13" x14ac:dyDescent="0.15">
      <c r="A1816" s="4"/>
    </row>
    <row r="1817" spans="1:1" ht="13" x14ac:dyDescent="0.15">
      <c r="A1817" s="4"/>
    </row>
    <row r="1818" spans="1:1" ht="13" x14ac:dyDescent="0.15">
      <c r="A1818" s="4"/>
    </row>
    <row r="1819" spans="1:1" ht="13" x14ac:dyDescent="0.15">
      <c r="A1819" s="4"/>
    </row>
    <row r="1820" spans="1:1" ht="13" x14ac:dyDescent="0.15">
      <c r="A1820" s="4"/>
    </row>
    <row r="1821" spans="1:1" ht="13" x14ac:dyDescent="0.15">
      <c r="A1821" s="4"/>
    </row>
    <row r="1822" spans="1:1" ht="13" x14ac:dyDescent="0.15">
      <c r="A1822" s="4"/>
    </row>
    <row r="1823" spans="1:1" ht="13" x14ac:dyDescent="0.15">
      <c r="A1823" s="4"/>
    </row>
    <row r="1824" spans="1:1" ht="13" x14ac:dyDescent="0.15">
      <c r="A1824" s="4"/>
    </row>
    <row r="1825" spans="1:1" ht="13" x14ac:dyDescent="0.15">
      <c r="A1825" s="4"/>
    </row>
    <row r="1826" spans="1:1" ht="13" x14ac:dyDescent="0.15">
      <c r="A1826" s="4"/>
    </row>
    <row r="1827" spans="1:1" ht="13" x14ac:dyDescent="0.15">
      <c r="A1827" s="4"/>
    </row>
    <row r="1828" spans="1:1" ht="13" x14ac:dyDescent="0.15">
      <c r="A1828" s="4"/>
    </row>
    <row r="1829" spans="1:1" ht="13" x14ac:dyDescent="0.15">
      <c r="A1829" s="4"/>
    </row>
    <row r="1830" spans="1:1" ht="13" x14ac:dyDescent="0.15">
      <c r="A1830" s="4"/>
    </row>
    <row r="1831" spans="1:1" ht="13" x14ac:dyDescent="0.15">
      <c r="A1831" s="4"/>
    </row>
    <row r="1832" spans="1:1" ht="13" x14ac:dyDescent="0.15">
      <c r="A1832" s="4"/>
    </row>
    <row r="1833" spans="1:1" ht="13" x14ac:dyDescent="0.15">
      <c r="A1833" s="4"/>
    </row>
    <row r="1834" spans="1:1" ht="13" x14ac:dyDescent="0.15">
      <c r="A1834" s="4"/>
    </row>
    <row r="1835" spans="1:1" ht="13" x14ac:dyDescent="0.15">
      <c r="A1835" s="4"/>
    </row>
    <row r="1836" spans="1:1" ht="13" x14ac:dyDescent="0.15">
      <c r="A1836" s="4"/>
    </row>
    <row r="1837" spans="1:1" ht="13" x14ac:dyDescent="0.15">
      <c r="A1837" s="4"/>
    </row>
    <row r="1838" spans="1:1" ht="13" x14ac:dyDescent="0.15">
      <c r="A1838" s="4"/>
    </row>
    <row r="1839" spans="1:1" ht="13" x14ac:dyDescent="0.15">
      <c r="A1839" s="4"/>
    </row>
    <row r="1840" spans="1:1" ht="13" x14ac:dyDescent="0.15">
      <c r="A1840" s="4"/>
    </row>
    <row r="1841" spans="1:1" ht="13" x14ac:dyDescent="0.15">
      <c r="A1841" s="4"/>
    </row>
    <row r="1842" spans="1:1" ht="13" x14ac:dyDescent="0.15">
      <c r="A1842" s="4"/>
    </row>
    <row r="1843" spans="1:1" ht="13" x14ac:dyDescent="0.15">
      <c r="A1843" s="4"/>
    </row>
    <row r="1844" spans="1:1" ht="13" x14ac:dyDescent="0.15">
      <c r="A1844" s="4"/>
    </row>
    <row r="1845" spans="1:1" ht="13" x14ac:dyDescent="0.15">
      <c r="A1845" s="4"/>
    </row>
    <row r="1846" spans="1:1" ht="13" x14ac:dyDescent="0.15">
      <c r="A1846" s="4"/>
    </row>
    <row r="1847" spans="1:1" ht="13" x14ac:dyDescent="0.15">
      <c r="A1847" s="4"/>
    </row>
    <row r="1848" spans="1:1" ht="13" x14ac:dyDescent="0.15">
      <c r="A1848" s="4"/>
    </row>
    <row r="1849" spans="1:1" ht="13" x14ac:dyDescent="0.15">
      <c r="A1849" s="4"/>
    </row>
    <row r="1850" spans="1:1" ht="13" x14ac:dyDescent="0.15">
      <c r="A1850" s="4"/>
    </row>
    <row r="1851" spans="1:1" ht="13" x14ac:dyDescent="0.15">
      <c r="A1851" s="4"/>
    </row>
    <row r="1852" spans="1:1" ht="13" x14ac:dyDescent="0.15">
      <c r="A1852" s="4"/>
    </row>
    <row r="1853" spans="1:1" ht="13" x14ac:dyDescent="0.15">
      <c r="A1853" s="4"/>
    </row>
    <row r="1854" spans="1:1" ht="13" x14ac:dyDescent="0.15">
      <c r="A1854" s="4"/>
    </row>
    <row r="1855" spans="1:1" ht="13" x14ac:dyDescent="0.15">
      <c r="A1855" s="4"/>
    </row>
    <row r="1856" spans="1:1" ht="13" x14ac:dyDescent="0.15">
      <c r="A1856" s="4"/>
    </row>
    <row r="1857" spans="1:1" ht="13" x14ac:dyDescent="0.15">
      <c r="A1857" s="4"/>
    </row>
    <row r="1858" spans="1:1" ht="13" x14ac:dyDescent="0.15">
      <c r="A1858" s="4"/>
    </row>
    <row r="1859" spans="1:1" ht="13" x14ac:dyDescent="0.15">
      <c r="A1859" s="4"/>
    </row>
    <row r="1860" spans="1:1" ht="13" x14ac:dyDescent="0.15">
      <c r="A1860" s="4"/>
    </row>
    <row r="1861" spans="1:1" ht="13" x14ac:dyDescent="0.15">
      <c r="A1861" s="4"/>
    </row>
    <row r="1862" spans="1:1" ht="13" x14ac:dyDescent="0.15">
      <c r="A1862" s="4"/>
    </row>
    <row r="1863" spans="1:1" ht="13" x14ac:dyDescent="0.15">
      <c r="A1863" s="4"/>
    </row>
    <row r="1864" spans="1:1" ht="13" x14ac:dyDescent="0.15">
      <c r="A1864" s="4"/>
    </row>
    <row r="1865" spans="1:1" ht="13" x14ac:dyDescent="0.15">
      <c r="A1865" s="4"/>
    </row>
    <row r="1866" spans="1:1" ht="13" x14ac:dyDescent="0.15">
      <c r="A1866" s="4"/>
    </row>
    <row r="1867" spans="1:1" ht="13" x14ac:dyDescent="0.15">
      <c r="A1867" s="4"/>
    </row>
    <row r="1868" spans="1:1" ht="13" x14ac:dyDescent="0.15">
      <c r="A1868" s="4"/>
    </row>
    <row r="1869" spans="1:1" ht="13" x14ac:dyDescent="0.15">
      <c r="A1869" s="4"/>
    </row>
    <row r="1870" spans="1:1" ht="13" x14ac:dyDescent="0.15">
      <c r="A1870" s="4"/>
    </row>
    <row r="1871" spans="1:1" ht="13" x14ac:dyDescent="0.15">
      <c r="A1871" s="4"/>
    </row>
    <row r="1872" spans="1:1" ht="13" x14ac:dyDescent="0.15">
      <c r="A1872" s="4"/>
    </row>
    <row r="1873" spans="1:1" ht="13" x14ac:dyDescent="0.15">
      <c r="A1873" s="4"/>
    </row>
    <row r="1874" spans="1:1" ht="13" x14ac:dyDescent="0.15">
      <c r="A1874" s="4"/>
    </row>
    <row r="1875" spans="1:1" ht="13" x14ac:dyDescent="0.15">
      <c r="A1875" s="4"/>
    </row>
    <row r="1876" spans="1:1" ht="13" x14ac:dyDescent="0.15">
      <c r="A1876" s="4"/>
    </row>
    <row r="1877" spans="1:1" ht="13" x14ac:dyDescent="0.15">
      <c r="A1877" s="4"/>
    </row>
    <row r="1878" spans="1:1" ht="13" x14ac:dyDescent="0.15">
      <c r="A1878" s="4"/>
    </row>
    <row r="1879" spans="1:1" ht="13" x14ac:dyDescent="0.15">
      <c r="A1879" s="4"/>
    </row>
    <row r="1880" spans="1:1" ht="13" x14ac:dyDescent="0.15">
      <c r="A1880" s="4"/>
    </row>
    <row r="1881" spans="1:1" ht="13" x14ac:dyDescent="0.15">
      <c r="A1881" s="4"/>
    </row>
    <row r="1882" spans="1:1" ht="13" x14ac:dyDescent="0.15">
      <c r="A1882" s="4"/>
    </row>
    <row r="1883" spans="1:1" ht="13" x14ac:dyDescent="0.15">
      <c r="A1883" s="4"/>
    </row>
    <row r="1884" spans="1:1" ht="13" x14ac:dyDescent="0.15">
      <c r="A1884" s="4"/>
    </row>
    <row r="1885" spans="1:1" ht="13" x14ac:dyDescent="0.15">
      <c r="A1885" s="4"/>
    </row>
    <row r="1886" spans="1:1" ht="13" x14ac:dyDescent="0.15">
      <c r="A1886" s="4"/>
    </row>
    <row r="1887" spans="1:1" ht="13" x14ac:dyDescent="0.15">
      <c r="A1887" s="4"/>
    </row>
    <row r="1888" spans="1:1" ht="13" x14ac:dyDescent="0.15">
      <c r="A1888" s="4"/>
    </row>
    <row r="1889" spans="1:1" ht="13" x14ac:dyDescent="0.15">
      <c r="A1889" s="4"/>
    </row>
    <row r="1890" spans="1:1" ht="13" x14ac:dyDescent="0.15">
      <c r="A1890" s="4"/>
    </row>
    <row r="1891" spans="1:1" ht="13" x14ac:dyDescent="0.15">
      <c r="A1891" s="4"/>
    </row>
    <row r="1892" spans="1:1" ht="13" x14ac:dyDescent="0.15">
      <c r="A1892" s="4"/>
    </row>
    <row r="1893" spans="1:1" ht="13" x14ac:dyDescent="0.15">
      <c r="A1893" s="4"/>
    </row>
    <row r="1894" spans="1:1" ht="13" x14ac:dyDescent="0.15">
      <c r="A1894" s="4"/>
    </row>
    <row r="1895" spans="1:1" ht="13" x14ac:dyDescent="0.15">
      <c r="A1895" s="4"/>
    </row>
    <row r="1896" spans="1:1" ht="13" x14ac:dyDescent="0.15">
      <c r="A1896" s="4"/>
    </row>
    <row r="1897" spans="1:1" ht="13" x14ac:dyDescent="0.15">
      <c r="A1897" s="4"/>
    </row>
    <row r="1898" spans="1:1" ht="13" x14ac:dyDescent="0.15">
      <c r="A1898" s="4"/>
    </row>
    <row r="1899" spans="1:1" ht="13" x14ac:dyDescent="0.15">
      <c r="A1899" s="4"/>
    </row>
    <row r="1900" spans="1:1" ht="13" x14ac:dyDescent="0.15">
      <c r="A1900" s="4"/>
    </row>
    <row r="1901" spans="1:1" ht="13" x14ac:dyDescent="0.15">
      <c r="A1901" s="4"/>
    </row>
    <row r="1902" spans="1:1" ht="13" x14ac:dyDescent="0.15">
      <c r="A1902" s="4"/>
    </row>
    <row r="1903" spans="1:1" ht="13" x14ac:dyDescent="0.15">
      <c r="A1903" s="4"/>
    </row>
    <row r="1904" spans="1:1" ht="13" x14ac:dyDescent="0.15">
      <c r="A1904" s="4"/>
    </row>
    <row r="1905" spans="1:1" ht="13" x14ac:dyDescent="0.15">
      <c r="A1905" s="4"/>
    </row>
    <row r="1906" spans="1:1" ht="13" x14ac:dyDescent="0.15">
      <c r="A1906" s="4"/>
    </row>
    <row r="1907" spans="1:1" ht="13" x14ac:dyDescent="0.15">
      <c r="A1907" s="4"/>
    </row>
    <row r="1908" spans="1:1" ht="13" x14ac:dyDescent="0.15">
      <c r="A1908" s="4"/>
    </row>
    <row r="1909" spans="1:1" ht="13" x14ac:dyDescent="0.15">
      <c r="A1909" s="4"/>
    </row>
    <row r="1910" spans="1:1" ht="13" x14ac:dyDescent="0.15">
      <c r="A1910" s="4"/>
    </row>
    <row r="1911" spans="1:1" ht="13" x14ac:dyDescent="0.15">
      <c r="A1911" s="4"/>
    </row>
    <row r="1912" spans="1:1" ht="13" x14ac:dyDescent="0.15">
      <c r="A1912" s="4"/>
    </row>
    <row r="1913" spans="1:1" ht="13" x14ac:dyDescent="0.15">
      <c r="A1913" s="4"/>
    </row>
    <row r="1914" spans="1:1" ht="13" x14ac:dyDescent="0.15">
      <c r="A1914" s="4"/>
    </row>
    <row r="1915" spans="1:1" ht="13" x14ac:dyDescent="0.15">
      <c r="A1915" s="4"/>
    </row>
    <row r="1916" spans="1:1" ht="13" x14ac:dyDescent="0.15">
      <c r="A1916" s="4"/>
    </row>
    <row r="1917" spans="1:1" ht="13" x14ac:dyDescent="0.15">
      <c r="A1917" s="4"/>
    </row>
    <row r="1918" spans="1:1" ht="13" x14ac:dyDescent="0.15">
      <c r="A1918" s="4"/>
    </row>
    <row r="1919" spans="1:1" ht="13" x14ac:dyDescent="0.15">
      <c r="A1919" s="4"/>
    </row>
    <row r="1920" spans="1:1" ht="13" x14ac:dyDescent="0.15">
      <c r="A1920" s="4"/>
    </row>
    <row r="1921" spans="1:1" ht="13" x14ac:dyDescent="0.15">
      <c r="A1921" s="4"/>
    </row>
    <row r="1922" spans="1:1" ht="13" x14ac:dyDescent="0.15">
      <c r="A1922" s="4"/>
    </row>
    <row r="1923" spans="1:1" ht="13" x14ac:dyDescent="0.15">
      <c r="A1923" s="4"/>
    </row>
    <row r="1924" spans="1:1" ht="13" x14ac:dyDescent="0.15">
      <c r="A1924" s="4"/>
    </row>
    <row r="1925" spans="1:1" ht="13" x14ac:dyDescent="0.15">
      <c r="A1925" s="4"/>
    </row>
    <row r="1926" spans="1:1" ht="13" x14ac:dyDescent="0.15">
      <c r="A1926" s="4"/>
    </row>
    <row r="1927" spans="1:1" ht="13" x14ac:dyDescent="0.15">
      <c r="A1927" s="4"/>
    </row>
    <row r="1928" spans="1:1" ht="13" x14ac:dyDescent="0.15">
      <c r="A1928" s="4"/>
    </row>
    <row r="1929" spans="1:1" ht="13" x14ac:dyDescent="0.15">
      <c r="A1929" s="4"/>
    </row>
    <row r="1930" spans="1:1" ht="13" x14ac:dyDescent="0.15">
      <c r="A1930" s="4"/>
    </row>
    <row r="1931" spans="1:1" ht="13" x14ac:dyDescent="0.15">
      <c r="A1931" s="4"/>
    </row>
    <row r="1932" spans="1:1" ht="13" x14ac:dyDescent="0.15">
      <c r="A1932" s="4"/>
    </row>
    <row r="1933" spans="1:1" ht="13" x14ac:dyDescent="0.15">
      <c r="A1933" s="4"/>
    </row>
    <row r="1934" spans="1:1" ht="13" x14ac:dyDescent="0.15">
      <c r="A1934" s="4"/>
    </row>
    <row r="1935" spans="1:1" ht="13" x14ac:dyDescent="0.15">
      <c r="A1935" s="4"/>
    </row>
    <row r="1936" spans="1:1" ht="13" x14ac:dyDescent="0.15">
      <c r="A1936" s="4"/>
    </row>
    <row r="1937" spans="1:1" ht="13" x14ac:dyDescent="0.15">
      <c r="A1937" s="4"/>
    </row>
    <row r="1938" spans="1:1" ht="13" x14ac:dyDescent="0.15">
      <c r="A1938" s="4"/>
    </row>
    <row r="1939" spans="1:1" ht="13" x14ac:dyDescent="0.15">
      <c r="A1939" s="4"/>
    </row>
    <row r="1940" spans="1:1" ht="13" x14ac:dyDescent="0.15">
      <c r="A1940" s="4"/>
    </row>
    <row r="1941" spans="1:1" ht="13" x14ac:dyDescent="0.15">
      <c r="A1941" s="4"/>
    </row>
    <row r="1942" spans="1:1" ht="13" x14ac:dyDescent="0.15">
      <c r="A1942" s="4"/>
    </row>
    <row r="1943" spans="1:1" ht="13" x14ac:dyDescent="0.15">
      <c r="A1943" s="4"/>
    </row>
    <row r="1944" spans="1:1" ht="13" x14ac:dyDescent="0.15">
      <c r="A1944" s="4"/>
    </row>
    <row r="1945" spans="1:1" ht="13" x14ac:dyDescent="0.15">
      <c r="A1945" s="4"/>
    </row>
    <row r="1946" spans="1:1" ht="13" x14ac:dyDescent="0.15">
      <c r="A1946" s="4"/>
    </row>
    <row r="1947" spans="1:1" ht="13" x14ac:dyDescent="0.15">
      <c r="A1947" s="4"/>
    </row>
    <row r="1948" spans="1:1" ht="13" x14ac:dyDescent="0.15">
      <c r="A1948" s="4"/>
    </row>
    <row r="1949" spans="1:1" ht="13" x14ac:dyDescent="0.15">
      <c r="A1949" s="4"/>
    </row>
    <row r="1950" spans="1:1" ht="13" x14ac:dyDescent="0.15">
      <c r="A1950" s="4"/>
    </row>
    <row r="1951" spans="1:1" ht="13" x14ac:dyDescent="0.15">
      <c r="A1951" s="4"/>
    </row>
    <row r="1952" spans="1:1" ht="13" x14ac:dyDescent="0.15">
      <c r="A1952" s="4"/>
    </row>
    <row r="1953" spans="1:1" ht="13" x14ac:dyDescent="0.15">
      <c r="A1953" s="4"/>
    </row>
    <row r="1954" spans="1:1" ht="13" x14ac:dyDescent="0.15">
      <c r="A1954" s="4"/>
    </row>
    <row r="1955" spans="1:1" ht="13" x14ac:dyDescent="0.15">
      <c r="A1955" s="4"/>
    </row>
    <row r="1956" spans="1:1" ht="13" x14ac:dyDescent="0.15">
      <c r="A1956" s="4"/>
    </row>
    <row r="1957" spans="1:1" ht="13" x14ac:dyDescent="0.15">
      <c r="A1957" s="4"/>
    </row>
    <row r="1958" spans="1:1" ht="13" x14ac:dyDescent="0.15">
      <c r="A1958" s="4"/>
    </row>
    <row r="1959" spans="1:1" ht="13" x14ac:dyDescent="0.15">
      <c r="A1959" s="4"/>
    </row>
    <row r="1960" spans="1:1" ht="13" x14ac:dyDescent="0.15">
      <c r="A1960" s="4"/>
    </row>
    <row r="1961" spans="1:1" ht="13" x14ac:dyDescent="0.15">
      <c r="A1961" s="4"/>
    </row>
    <row r="1962" spans="1:1" ht="13" x14ac:dyDescent="0.15">
      <c r="A1962" s="4"/>
    </row>
    <row r="1963" spans="1:1" ht="13" x14ac:dyDescent="0.15">
      <c r="A1963" s="4"/>
    </row>
    <row r="1964" spans="1:1" ht="13" x14ac:dyDescent="0.15">
      <c r="A1964" s="4"/>
    </row>
    <row r="1965" spans="1:1" ht="13" x14ac:dyDescent="0.15">
      <c r="A1965" s="4"/>
    </row>
    <row r="1966" spans="1:1" ht="13" x14ac:dyDescent="0.15">
      <c r="A1966" s="4"/>
    </row>
    <row r="1967" spans="1:1" ht="13" x14ac:dyDescent="0.15">
      <c r="A1967" s="4"/>
    </row>
    <row r="1968" spans="1:1" ht="13" x14ac:dyDescent="0.15">
      <c r="A1968" s="4"/>
    </row>
    <row r="1969" spans="1:1" ht="13" x14ac:dyDescent="0.15">
      <c r="A1969" s="4"/>
    </row>
    <row r="1970" spans="1:1" ht="13" x14ac:dyDescent="0.15">
      <c r="A1970" s="4"/>
    </row>
    <row r="1971" spans="1:1" ht="13" x14ac:dyDescent="0.15">
      <c r="A1971" s="4"/>
    </row>
    <row r="1972" spans="1:1" ht="13" x14ac:dyDescent="0.15">
      <c r="A1972" s="4"/>
    </row>
    <row r="1973" spans="1:1" ht="13" x14ac:dyDescent="0.15">
      <c r="A1973" s="4"/>
    </row>
    <row r="1974" spans="1:1" ht="13" x14ac:dyDescent="0.15">
      <c r="A1974" s="4"/>
    </row>
    <row r="1975" spans="1:1" ht="13" x14ac:dyDescent="0.15">
      <c r="A1975" s="4"/>
    </row>
    <row r="1976" spans="1:1" ht="13" x14ac:dyDescent="0.15">
      <c r="A1976" s="4"/>
    </row>
    <row r="1977" spans="1:1" ht="13" x14ac:dyDescent="0.15">
      <c r="A1977" s="4"/>
    </row>
    <row r="1978" spans="1:1" ht="13" x14ac:dyDescent="0.15">
      <c r="A1978" s="4"/>
    </row>
    <row r="1979" spans="1:1" ht="13" x14ac:dyDescent="0.15">
      <c r="A1979" s="4"/>
    </row>
    <row r="1980" spans="1:1" ht="13" x14ac:dyDescent="0.15">
      <c r="A1980" s="4"/>
    </row>
    <row r="1981" spans="1:1" ht="13" x14ac:dyDescent="0.15">
      <c r="A1981" s="4"/>
    </row>
    <row r="1982" spans="1:1" ht="13" x14ac:dyDescent="0.15">
      <c r="A1982" s="4"/>
    </row>
    <row r="1983" spans="1:1" ht="13" x14ac:dyDescent="0.15">
      <c r="A1983" s="4"/>
    </row>
    <row r="1984" spans="1:1" ht="13" x14ac:dyDescent="0.15">
      <c r="A1984" s="4"/>
    </row>
    <row r="1985" spans="1:1" ht="13" x14ac:dyDescent="0.15">
      <c r="A1985" s="4"/>
    </row>
    <row r="1986" spans="1:1" ht="13" x14ac:dyDescent="0.15">
      <c r="A1986" s="4"/>
    </row>
    <row r="1987" spans="1:1" ht="13" x14ac:dyDescent="0.15">
      <c r="A1987" s="4"/>
    </row>
    <row r="1988" spans="1:1" ht="13" x14ac:dyDescent="0.15">
      <c r="A1988" s="4"/>
    </row>
    <row r="1989" spans="1:1" ht="13" x14ac:dyDescent="0.15">
      <c r="A1989" s="4"/>
    </row>
    <row r="1990" spans="1:1" ht="13" x14ac:dyDescent="0.15">
      <c r="A1990" s="4"/>
    </row>
    <row r="1991" spans="1:1" ht="13" x14ac:dyDescent="0.15">
      <c r="A1991" s="4"/>
    </row>
    <row r="1992" spans="1:1" ht="13" x14ac:dyDescent="0.15">
      <c r="A1992" s="4"/>
    </row>
    <row r="1993" spans="1:1" ht="13" x14ac:dyDescent="0.15">
      <c r="A1993" s="4"/>
    </row>
    <row r="1994" spans="1:1" ht="13" x14ac:dyDescent="0.15">
      <c r="A1994" s="4"/>
    </row>
    <row r="1995" spans="1:1" ht="13" x14ac:dyDescent="0.15">
      <c r="A1995" s="4"/>
    </row>
    <row r="1996" spans="1:1" ht="13" x14ac:dyDescent="0.15">
      <c r="A1996" s="4"/>
    </row>
    <row r="1997" spans="1:1" ht="13" x14ac:dyDescent="0.15">
      <c r="A1997" s="4"/>
    </row>
    <row r="1998" spans="1:1" ht="13" x14ac:dyDescent="0.15">
      <c r="A1998" s="4"/>
    </row>
    <row r="1999" spans="1:1" ht="13" x14ac:dyDescent="0.15">
      <c r="A1999" s="4"/>
    </row>
    <row r="2000" spans="1:1" ht="13" x14ac:dyDescent="0.15">
      <c r="A2000" s="4"/>
    </row>
    <row r="2001" spans="1:1" ht="13" x14ac:dyDescent="0.15">
      <c r="A2001" s="4"/>
    </row>
    <row r="2002" spans="1:1" ht="13" x14ac:dyDescent="0.15">
      <c r="A2002" s="4"/>
    </row>
    <row r="2003" spans="1:1" ht="13" x14ac:dyDescent="0.15">
      <c r="A2003" s="4"/>
    </row>
    <row r="2004" spans="1:1" ht="13" x14ac:dyDescent="0.15">
      <c r="A2004" s="4"/>
    </row>
    <row r="2005" spans="1:1" ht="13" x14ac:dyDescent="0.15">
      <c r="A2005" s="4"/>
    </row>
    <row r="2006" spans="1:1" ht="13" x14ac:dyDescent="0.15">
      <c r="A2006" s="4"/>
    </row>
    <row r="2007" spans="1:1" ht="13" x14ac:dyDescent="0.15">
      <c r="A2007" s="4"/>
    </row>
    <row r="2008" spans="1:1" ht="13" x14ac:dyDescent="0.15">
      <c r="A2008" s="4"/>
    </row>
    <row r="2009" spans="1:1" ht="13" x14ac:dyDescent="0.15">
      <c r="A2009" s="4"/>
    </row>
    <row r="2010" spans="1:1" ht="13" x14ac:dyDescent="0.15">
      <c r="A2010" s="4"/>
    </row>
    <row r="2011" spans="1:1" ht="13" x14ac:dyDescent="0.15">
      <c r="A2011" s="4"/>
    </row>
    <row r="2012" spans="1:1" ht="13" x14ac:dyDescent="0.15">
      <c r="A2012" s="4"/>
    </row>
    <row r="2013" spans="1:1" ht="13" x14ac:dyDescent="0.15">
      <c r="A2013" s="4"/>
    </row>
    <row r="2014" spans="1:1" ht="13" x14ac:dyDescent="0.15">
      <c r="A2014" s="4"/>
    </row>
    <row r="2015" spans="1:1" ht="13" x14ac:dyDescent="0.15">
      <c r="A2015" s="4"/>
    </row>
    <row r="2016" spans="1:1" ht="13" x14ac:dyDescent="0.15">
      <c r="A2016" s="4"/>
    </row>
    <row r="2017" spans="1:1" ht="13" x14ac:dyDescent="0.15">
      <c r="A2017" s="4"/>
    </row>
    <row r="2018" spans="1:1" ht="13" x14ac:dyDescent="0.15">
      <c r="A2018" s="4"/>
    </row>
    <row r="2019" spans="1:1" ht="13" x14ac:dyDescent="0.15">
      <c r="A2019" s="4"/>
    </row>
    <row r="2020" spans="1:1" ht="13" x14ac:dyDescent="0.15">
      <c r="A2020" s="4"/>
    </row>
    <row r="2021" spans="1:1" ht="13" x14ac:dyDescent="0.15">
      <c r="A2021" s="4"/>
    </row>
    <row r="2022" spans="1:1" ht="13" x14ac:dyDescent="0.15">
      <c r="A2022" s="4"/>
    </row>
    <row r="2023" spans="1:1" ht="13" x14ac:dyDescent="0.15">
      <c r="A2023" s="4"/>
    </row>
    <row r="2024" spans="1:1" ht="13" x14ac:dyDescent="0.15">
      <c r="A2024" s="4"/>
    </row>
    <row r="2025" spans="1:1" ht="13" x14ac:dyDescent="0.15">
      <c r="A2025" s="4"/>
    </row>
    <row r="2026" spans="1:1" ht="13" x14ac:dyDescent="0.15">
      <c r="A2026" s="4"/>
    </row>
    <row r="2027" spans="1:1" ht="13" x14ac:dyDescent="0.15">
      <c r="A2027" s="4"/>
    </row>
    <row r="2028" spans="1:1" ht="13" x14ac:dyDescent="0.15">
      <c r="A2028" s="4"/>
    </row>
    <row r="2029" spans="1:1" ht="13" x14ac:dyDescent="0.15">
      <c r="A2029" s="4"/>
    </row>
    <row r="2030" spans="1:1" ht="13" x14ac:dyDescent="0.15">
      <c r="A2030" s="4"/>
    </row>
    <row r="2031" spans="1:1" ht="13" x14ac:dyDescent="0.15">
      <c r="A2031" s="4"/>
    </row>
    <row r="2032" spans="1:1" ht="13" x14ac:dyDescent="0.15">
      <c r="A2032" s="4"/>
    </row>
    <row r="2033" spans="1:1" ht="13" x14ac:dyDescent="0.15">
      <c r="A2033" s="4"/>
    </row>
    <row r="2034" spans="1:1" ht="13" x14ac:dyDescent="0.15">
      <c r="A2034" s="4"/>
    </row>
    <row r="2035" spans="1:1" ht="13" x14ac:dyDescent="0.15">
      <c r="A2035" s="4"/>
    </row>
    <row r="2036" spans="1:1" ht="13" x14ac:dyDescent="0.15">
      <c r="A2036" s="4"/>
    </row>
    <row r="2037" spans="1:1" ht="13" x14ac:dyDescent="0.15">
      <c r="A2037" s="4"/>
    </row>
    <row r="2038" spans="1:1" ht="13" x14ac:dyDescent="0.15">
      <c r="A2038" s="4"/>
    </row>
    <row r="2039" spans="1:1" ht="13" x14ac:dyDescent="0.15">
      <c r="A2039" s="4"/>
    </row>
    <row r="2040" spans="1:1" ht="13" x14ac:dyDescent="0.15">
      <c r="A2040" s="4"/>
    </row>
    <row r="2041" spans="1:1" ht="13" x14ac:dyDescent="0.15">
      <c r="A2041" s="4"/>
    </row>
    <row r="2042" spans="1:1" ht="13" x14ac:dyDescent="0.15">
      <c r="A2042" s="4"/>
    </row>
    <row r="2043" spans="1:1" ht="13" x14ac:dyDescent="0.15">
      <c r="A2043" s="4"/>
    </row>
    <row r="2044" spans="1:1" ht="13" x14ac:dyDescent="0.15">
      <c r="A2044" s="4"/>
    </row>
    <row r="2045" spans="1:1" ht="13" x14ac:dyDescent="0.15">
      <c r="A2045" s="4"/>
    </row>
    <row r="2046" spans="1:1" ht="13" x14ac:dyDescent="0.15">
      <c r="A2046" s="4"/>
    </row>
    <row r="2047" spans="1:1" ht="13" x14ac:dyDescent="0.15">
      <c r="A2047" s="4"/>
    </row>
    <row r="2048" spans="1:1" ht="13" x14ac:dyDescent="0.15">
      <c r="A2048" s="4"/>
    </row>
    <row r="2049" spans="1:1" ht="13" x14ac:dyDescent="0.15">
      <c r="A2049" s="4"/>
    </row>
    <row r="2050" spans="1:1" ht="13" x14ac:dyDescent="0.15">
      <c r="A2050" s="4"/>
    </row>
    <row r="2051" spans="1:1" ht="13" x14ac:dyDescent="0.15">
      <c r="A2051" s="4"/>
    </row>
    <row r="2052" spans="1:1" ht="13" x14ac:dyDescent="0.15">
      <c r="A2052" s="4"/>
    </row>
    <row r="2053" spans="1:1" ht="13" x14ac:dyDescent="0.15">
      <c r="A2053" s="4"/>
    </row>
    <row r="2054" spans="1:1" ht="13" x14ac:dyDescent="0.15">
      <c r="A2054" s="4"/>
    </row>
    <row r="2055" spans="1:1" ht="13" x14ac:dyDescent="0.15">
      <c r="A2055" s="4"/>
    </row>
    <row r="2056" spans="1:1" ht="13" x14ac:dyDescent="0.15">
      <c r="A2056" s="4"/>
    </row>
    <row r="2057" spans="1:1" ht="13" x14ac:dyDescent="0.15">
      <c r="A2057" s="4"/>
    </row>
    <row r="2058" spans="1:1" ht="13" x14ac:dyDescent="0.15">
      <c r="A2058" s="4"/>
    </row>
    <row r="2059" spans="1:1" ht="13" x14ac:dyDescent="0.15">
      <c r="A2059" s="4"/>
    </row>
    <row r="2060" spans="1:1" ht="13" x14ac:dyDescent="0.15">
      <c r="A2060" s="4"/>
    </row>
    <row r="2061" spans="1:1" ht="13" x14ac:dyDescent="0.15">
      <c r="A2061" s="4"/>
    </row>
    <row r="2062" spans="1:1" ht="13" x14ac:dyDescent="0.15">
      <c r="A2062" s="4"/>
    </row>
    <row r="2063" spans="1:1" ht="13" x14ac:dyDescent="0.15">
      <c r="A2063" s="4"/>
    </row>
    <row r="2064" spans="1:1" ht="13" x14ac:dyDescent="0.15">
      <c r="A2064" s="4"/>
    </row>
    <row r="2065" spans="1:1" ht="13" x14ac:dyDescent="0.15">
      <c r="A2065" s="4"/>
    </row>
    <row r="2066" spans="1:1" ht="13" x14ac:dyDescent="0.15">
      <c r="A2066" s="4"/>
    </row>
    <row r="2067" spans="1:1" ht="13" x14ac:dyDescent="0.15">
      <c r="A2067" s="4"/>
    </row>
    <row r="2068" spans="1:1" ht="13" x14ac:dyDescent="0.15">
      <c r="A2068" s="4"/>
    </row>
    <row r="2069" spans="1:1" ht="13" x14ac:dyDescent="0.15">
      <c r="A2069" s="4"/>
    </row>
    <row r="2070" spans="1:1" ht="13" x14ac:dyDescent="0.15">
      <c r="A2070" s="4"/>
    </row>
    <row r="2071" spans="1:1" ht="13" x14ac:dyDescent="0.15">
      <c r="A2071" s="4"/>
    </row>
    <row r="2072" spans="1:1" ht="13" x14ac:dyDescent="0.15">
      <c r="A2072" s="4"/>
    </row>
    <row r="2073" spans="1:1" ht="13" x14ac:dyDescent="0.15">
      <c r="A2073" s="4"/>
    </row>
    <row r="2074" spans="1:1" ht="13" x14ac:dyDescent="0.15">
      <c r="A2074" s="4"/>
    </row>
    <row r="2075" spans="1:1" ht="13" x14ac:dyDescent="0.15">
      <c r="A2075" s="4"/>
    </row>
    <row r="2076" spans="1:1" ht="13" x14ac:dyDescent="0.15">
      <c r="A2076" s="4"/>
    </row>
    <row r="2077" spans="1:1" ht="13" x14ac:dyDescent="0.15">
      <c r="A2077" s="4"/>
    </row>
    <row r="2078" spans="1:1" ht="13" x14ac:dyDescent="0.15">
      <c r="A2078" s="4"/>
    </row>
    <row r="2079" spans="1:1" ht="13" x14ac:dyDescent="0.15">
      <c r="A2079" s="4"/>
    </row>
    <row r="2080" spans="1:1" ht="13" x14ac:dyDescent="0.15">
      <c r="A2080" s="4"/>
    </row>
    <row r="2081" spans="1:1" ht="13" x14ac:dyDescent="0.15">
      <c r="A2081" s="4"/>
    </row>
    <row r="2082" spans="1:1" ht="13" x14ac:dyDescent="0.15">
      <c r="A2082" s="4"/>
    </row>
    <row r="2083" spans="1:1" ht="13" x14ac:dyDescent="0.15">
      <c r="A2083" s="4"/>
    </row>
    <row r="2084" spans="1:1" ht="13" x14ac:dyDescent="0.15">
      <c r="A2084" s="4"/>
    </row>
    <row r="2085" spans="1:1" ht="13" x14ac:dyDescent="0.15">
      <c r="A2085" s="4"/>
    </row>
    <row r="2086" spans="1:1" ht="13" x14ac:dyDescent="0.15">
      <c r="A2086" s="4"/>
    </row>
    <row r="2087" spans="1:1" ht="13" x14ac:dyDescent="0.15">
      <c r="A2087" s="4"/>
    </row>
    <row r="2088" spans="1:1" ht="13" x14ac:dyDescent="0.15">
      <c r="A2088" s="4"/>
    </row>
    <row r="2089" spans="1:1" ht="13" x14ac:dyDescent="0.15">
      <c r="A2089" s="4"/>
    </row>
    <row r="2090" spans="1:1" ht="13" x14ac:dyDescent="0.15">
      <c r="A2090" s="4"/>
    </row>
    <row r="2091" spans="1:1" ht="13" x14ac:dyDescent="0.15">
      <c r="A2091" s="4"/>
    </row>
    <row r="2092" spans="1:1" ht="13" x14ac:dyDescent="0.15">
      <c r="A2092" s="4"/>
    </row>
    <row r="2093" spans="1:1" ht="13" x14ac:dyDescent="0.15">
      <c r="A2093" s="4"/>
    </row>
    <row r="2094" spans="1:1" ht="13" x14ac:dyDescent="0.15">
      <c r="A2094" s="4"/>
    </row>
    <row r="2095" spans="1:1" ht="13" x14ac:dyDescent="0.15">
      <c r="A2095" s="4"/>
    </row>
    <row r="2096" spans="1:1" ht="13" x14ac:dyDescent="0.15">
      <c r="A2096" s="4"/>
    </row>
    <row r="2097" spans="1:1" ht="13" x14ac:dyDescent="0.15">
      <c r="A2097" s="4"/>
    </row>
    <row r="2098" spans="1:1" ht="13" x14ac:dyDescent="0.15">
      <c r="A2098" s="4"/>
    </row>
    <row r="2099" spans="1:1" ht="13" x14ac:dyDescent="0.15">
      <c r="A2099" s="4"/>
    </row>
    <row r="2100" spans="1:1" ht="13" x14ac:dyDescent="0.15">
      <c r="A2100" s="4"/>
    </row>
    <row r="2101" spans="1:1" ht="13" x14ac:dyDescent="0.15">
      <c r="A2101" s="4"/>
    </row>
    <row r="2102" spans="1:1" ht="13" x14ac:dyDescent="0.15">
      <c r="A2102" s="4"/>
    </row>
    <row r="2103" spans="1:1" ht="13" x14ac:dyDescent="0.15">
      <c r="A2103" s="4"/>
    </row>
    <row r="2104" spans="1:1" ht="13" x14ac:dyDescent="0.15">
      <c r="A2104" s="4"/>
    </row>
    <row r="2105" spans="1:1" ht="13" x14ac:dyDescent="0.15">
      <c r="A2105" s="4"/>
    </row>
    <row r="2106" spans="1:1" ht="13" x14ac:dyDescent="0.15">
      <c r="A2106" s="4"/>
    </row>
    <row r="2107" spans="1:1" ht="13" x14ac:dyDescent="0.15">
      <c r="A2107" s="4"/>
    </row>
    <row r="2108" spans="1:1" ht="13" x14ac:dyDescent="0.15">
      <c r="A2108" s="4"/>
    </row>
    <row r="2109" spans="1:1" ht="13" x14ac:dyDescent="0.15">
      <c r="A2109" s="4"/>
    </row>
    <row r="2110" spans="1:1" ht="13" x14ac:dyDescent="0.15">
      <c r="A2110" s="4"/>
    </row>
    <row r="2111" spans="1:1" ht="13" x14ac:dyDescent="0.15">
      <c r="A2111" s="4"/>
    </row>
    <row r="2112" spans="1:1" ht="13" x14ac:dyDescent="0.15">
      <c r="A2112" s="4"/>
    </row>
    <row r="2113" spans="1:1" ht="13" x14ac:dyDescent="0.15">
      <c r="A2113" s="4"/>
    </row>
    <row r="2114" spans="1:1" ht="13" x14ac:dyDescent="0.15">
      <c r="A2114" s="4"/>
    </row>
    <row r="2115" spans="1:1" ht="13" x14ac:dyDescent="0.15">
      <c r="A2115" s="4"/>
    </row>
    <row r="2116" spans="1:1" ht="13" x14ac:dyDescent="0.15">
      <c r="A2116" s="4"/>
    </row>
    <row r="2117" spans="1:1" ht="13" x14ac:dyDescent="0.15">
      <c r="A2117" s="4"/>
    </row>
    <row r="2118" spans="1:1" ht="13" x14ac:dyDescent="0.15">
      <c r="A2118" s="4"/>
    </row>
    <row r="2119" spans="1:1" ht="13" x14ac:dyDescent="0.15">
      <c r="A2119" s="4"/>
    </row>
    <row r="2120" spans="1:1" ht="13" x14ac:dyDescent="0.15">
      <c r="A2120" s="4"/>
    </row>
    <row r="2121" spans="1:1" ht="13" x14ac:dyDescent="0.15">
      <c r="A2121" s="4"/>
    </row>
    <row r="2122" spans="1:1" ht="13" x14ac:dyDescent="0.15">
      <c r="A2122" s="4"/>
    </row>
    <row r="2123" spans="1:1" ht="13" x14ac:dyDescent="0.15">
      <c r="A2123" s="4"/>
    </row>
    <row r="2124" spans="1:1" ht="13" x14ac:dyDescent="0.15">
      <c r="A2124" s="4"/>
    </row>
    <row r="2125" spans="1:1" ht="13" x14ac:dyDescent="0.15">
      <c r="A2125" s="4"/>
    </row>
    <row r="2126" spans="1:1" ht="13" x14ac:dyDescent="0.15">
      <c r="A2126" s="4"/>
    </row>
    <row r="2127" spans="1:1" ht="13" x14ac:dyDescent="0.15">
      <c r="A2127" s="4"/>
    </row>
    <row r="2128" spans="1:1" ht="13" x14ac:dyDescent="0.15">
      <c r="A2128" s="4"/>
    </row>
    <row r="2129" spans="1:1" ht="13" x14ac:dyDescent="0.15">
      <c r="A2129" s="4"/>
    </row>
    <row r="2130" spans="1:1" ht="13" x14ac:dyDescent="0.15">
      <c r="A2130" s="4"/>
    </row>
    <row r="2131" spans="1:1" ht="13" x14ac:dyDescent="0.15">
      <c r="A2131" s="4"/>
    </row>
    <row r="2132" spans="1:1" ht="13" x14ac:dyDescent="0.15">
      <c r="A2132" s="4"/>
    </row>
    <row r="2133" spans="1:1" ht="13" x14ac:dyDescent="0.15">
      <c r="A2133" s="4"/>
    </row>
    <row r="2134" spans="1:1" ht="13" x14ac:dyDescent="0.15">
      <c r="A2134" s="4"/>
    </row>
    <row r="2135" spans="1:1" ht="13" x14ac:dyDescent="0.15">
      <c r="A2135" s="4"/>
    </row>
    <row r="2136" spans="1:1" ht="13" x14ac:dyDescent="0.15">
      <c r="A2136" s="4"/>
    </row>
    <row r="2137" spans="1:1" ht="13" x14ac:dyDescent="0.15">
      <c r="A2137" s="4"/>
    </row>
    <row r="2138" spans="1:1" ht="13" x14ac:dyDescent="0.15">
      <c r="A2138" s="4"/>
    </row>
    <row r="2139" spans="1:1" ht="13" x14ac:dyDescent="0.15">
      <c r="A2139" s="4"/>
    </row>
    <row r="2140" spans="1:1" ht="13" x14ac:dyDescent="0.15">
      <c r="A2140" s="4"/>
    </row>
    <row r="2141" spans="1:1" ht="13" x14ac:dyDescent="0.15">
      <c r="A2141" s="4"/>
    </row>
    <row r="2142" spans="1:1" ht="13" x14ac:dyDescent="0.15">
      <c r="A2142" s="4"/>
    </row>
    <row r="2143" spans="1:1" ht="13" x14ac:dyDescent="0.15">
      <c r="A2143" s="4"/>
    </row>
    <row r="2144" spans="1:1" ht="13" x14ac:dyDescent="0.15">
      <c r="A2144" s="4"/>
    </row>
    <row r="2145" spans="1:1" ht="13" x14ac:dyDescent="0.15">
      <c r="A2145" s="4"/>
    </row>
    <row r="2146" spans="1:1" ht="13" x14ac:dyDescent="0.15">
      <c r="A2146" s="4"/>
    </row>
    <row r="2147" spans="1:1" ht="13" x14ac:dyDescent="0.15">
      <c r="A2147" s="4"/>
    </row>
    <row r="2148" spans="1:1" ht="13" x14ac:dyDescent="0.15">
      <c r="A2148" s="4"/>
    </row>
    <row r="2149" spans="1:1" ht="13" x14ac:dyDescent="0.15">
      <c r="A2149" s="4"/>
    </row>
    <row r="2150" spans="1:1" ht="13" x14ac:dyDescent="0.15">
      <c r="A2150" s="4"/>
    </row>
    <row r="2151" spans="1:1" ht="13" x14ac:dyDescent="0.15">
      <c r="A2151" s="4"/>
    </row>
    <row r="2152" spans="1:1" ht="13" x14ac:dyDescent="0.15">
      <c r="A2152" s="4"/>
    </row>
    <row r="2153" spans="1:1" ht="13" x14ac:dyDescent="0.15">
      <c r="A2153" s="4"/>
    </row>
    <row r="2154" spans="1:1" ht="13" x14ac:dyDescent="0.15">
      <c r="A2154" s="4"/>
    </row>
    <row r="2155" spans="1:1" ht="13" x14ac:dyDescent="0.15">
      <c r="A2155" s="4"/>
    </row>
    <row r="2156" spans="1:1" ht="13" x14ac:dyDescent="0.15">
      <c r="A2156" s="4"/>
    </row>
    <row r="2157" spans="1:1" ht="13" x14ac:dyDescent="0.15">
      <c r="A2157" s="4"/>
    </row>
    <row r="2158" spans="1:1" ht="13" x14ac:dyDescent="0.15">
      <c r="A2158" s="4"/>
    </row>
    <row r="2159" spans="1:1" ht="13" x14ac:dyDescent="0.15">
      <c r="A2159" s="4"/>
    </row>
    <row r="2160" spans="1:1" ht="13" x14ac:dyDescent="0.15">
      <c r="A2160" s="4"/>
    </row>
    <row r="2161" spans="1:1" ht="13" x14ac:dyDescent="0.15">
      <c r="A2161" s="4"/>
    </row>
    <row r="2162" spans="1:1" ht="13" x14ac:dyDescent="0.15">
      <c r="A2162" s="4"/>
    </row>
    <row r="2163" spans="1:1" ht="13" x14ac:dyDescent="0.15">
      <c r="A2163" s="4"/>
    </row>
    <row r="2164" spans="1:1" ht="13" x14ac:dyDescent="0.15">
      <c r="A2164" s="4"/>
    </row>
    <row r="2165" spans="1:1" ht="13" x14ac:dyDescent="0.15">
      <c r="A2165" s="4"/>
    </row>
    <row r="2166" spans="1:1" ht="13" x14ac:dyDescent="0.15">
      <c r="A2166" s="4"/>
    </row>
    <row r="2167" spans="1:1" ht="13" x14ac:dyDescent="0.15">
      <c r="A2167" s="4"/>
    </row>
    <row r="2168" spans="1:1" ht="13" x14ac:dyDescent="0.15">
      <c r="A2168" s="4"/>
    </row>
    <row r="2169" spans="1:1" ht="13" x14ac:dyDescent="0.15">
      <c r="A2169" s="4"/>
    </row>
    <row r="2170" spans="1:1" ht="13" x14ac:dyDescent="0.15">
      <c r="A2170" s="4"/>
    </row>
    <row r="2171" spans="1:1" ht="13" x14ac:dyDescent="0.15">
      <c r="A2171" s="4"/>
    </row>
    <row r="2172" spans="1:1" ht="13" x14ac:dyDescent="0.15">
      <c r="A2172" s="4"/>
    </row>
    <row r="2173" spans="1:1" ht="13" x14ac:dyDescent="0.15">
      <c r="A2173" s="4"/>
    </row>
    <row r="2174" spans="1:1" ht="13" x14ac:dyDescent="0.15">
      <c r="A2174" s="4"/>
    </row>
    <row r="2175" spans="1:1" ht="13" x14ac:dyDescent="0.15">
      <c r="A2175" s="4"/>
    </row>
    <row r="2176" spans="1:1" ht="13" x14ac:dyDescent="0.15">
      <c r="A2176" s="4"/>
    </row>
    <row r="2177" spans="1:1" ht="13" x14ac:dyDescent="0.15">
      <c r="A2177" s="4"/>
    </row>
    <row r="2178" spans="1:1" ht="13" x14ac:dyDescent="0.15">
      <c r="A2178" s="4"/>
    </row>
    <row r="2179" spans="1:1" ht="13" x14ac:dyDescent="0.15">
      <c r="A2179" s="4"/>
    </row>
    <row r="2180" spans="1:1" ht="13" x14ac:dyDescent="0.15">
      <c r="A2180" s="4"/>
    </row>
    <row r="2181" spans="1:1" ht="13" x14ac:dyDescent="0.15">
      <c r="A2181" s="4"/>
    </row>
    <row r="2182" spans="1:1" ht="13" x14ac:dyDescent="0.15">
      <c r="A2182" s="4"/>
    </row>
    <row r="2183" spans="1:1" ht="13" x14ac:dyDescent="0.15">
      <c r="A2183" s="4"/>
    </row>
    <row r="2184" spans="1:1" ht="13" x14ac:dyDescent="0.15">
      <c r="A2184" s="4"/>
    </row>
    <row r="2185" spans="1:1" ht="13" x14ac:dyDescent="0.15">
      <c r="A2185" s="4"/>
    </row>
    <row r="2186" spans="1:1" ht="13" x14ac:dyDescent="0.15">
      <c r="A2186" s="4"/>
    </row>
    <row r="2187" spans="1:1" ht="13" x14ac:dyDescent="0.15">
      <c r="A2187" s="4"/>
    </row>
    <row r="2188" spans="1:1" ht="13" x14ac:dyDescent="0.15">
      <c r="A2188" s="4"/>
    </row>
    <row r="2189" spans="1:1" ht="13" x14ac:dyDescent="0.15">
      <c r="A2189" s="4"/>
    </row>
    <row r="2190" spans="1:1" ht="13" x14ac:dyDescent="0.15">
      <c r="A2190" s="4"/>
    </row>
    <row r="2191" spans="1:1" ht="13" x14ac:dyDescent="0.15">
      <c r="A2191" s="4"/>
    </row>
    <row r="2192" spans="1:1" ht="13" x14ac:dyDescent="0.15">
      <c r="A2192" s="4"/>
    </row>
    <row r="2193" spans="1:1" ht="13" x14ac:dyDescent="0.15">
      <c r="A2193" s="4"/>
    </row>
    <row r="2194" spans="1:1" ht="13" x14ac:dyDescent="0.15">
      <c r="A2194" s="4"/>
    </row>
    <row r="2195" spans="1:1" ht="13" x14ac:dyDescent="0.15">
      <c r="A2195" s="4"/>
    </row>
    <row r="2196" spans="1:1" ht="13" x14ac:dyDescent="0.15">
      <c r="A2196" s="4"/>
    </row>
    <row r="2197" spans="1:1" ht="13" x14ac:dyDescent="0.15">
      <c r="A2197" s="4"/>
    </row>
    <row r="2198" spans="1:1" ht="13" x14ac:dyDescent="0.15">
      <c r="A2198" s="4"/>
    </row>
    <row r="2199" spans="1:1" ht="13" x14ac:dyDescent="0.15">
      <c r="A2199" s="4"/>
    </row>
    <row r="2200" spans="1:1" ht="13" x14ac:dyDescent="0.15">
      <c r="A2200" s="4"/>
    </row>
    <row r="2201" spans="1:1" ht="13" x14ac:dyDescent="0.15">
      <c r="A2201" s="4"/>
    </row>
    <row r="2202" spans="1:1" ht="13" x14ac:dyDescent="0.15">
      <c r="A2202" s="4"/>
    </row>
    <row r="2203" spans="1:1" ht="13" x14ac:dyDescent="0.15">
      <c r="A2203" s="4"/>
    </row>
    <row r="2204" spans="1:1" ht="13" x14ac:dyDescent="0.15">
      <c r="A2204" s="4"/>
    </row>
    <row r="2205" spans="1:1" ht="13" x14ac:dyDescent="0.15">
      <c r="A2205" s="4"/>
    </row>
    <row r="2206" spans="1:1" ht="13" x14ac:dyDescent="0.15">
      <c r="A2206" s="4"/>
    </row>
    <row r="2207" spans="1:1" ht="13" x14ac:dyDescent="0.15">
      <c r="A2207" s="4"/>
    </row>
    <row r="2208" spans="1:1" ht="13" x14ac:dyDescent="0.15">
      <c r="A2208" s="4"/>
    </row>
    <row r="2209" spans="1:1" ht="13" x14ac:dyDescent="0.15">
      <c r="A2209" s="4"/>
    </row>
    <row r="2210" spans="1:1" ht="13" x14ac:dyDescent="0.15">
      <c r="A2210" s="4"/>
    </row>
    <row r="2211" spans="1:1" ht="13" x14ac:dyDescent="0.15">
      <c r="A2211" s="4"/>
    </row>
    <row r="2212" spans="1:1" ht="13" x14ac:dyDescent="0.15">
      <c r="A2212" s="4"/>
    </row>
    <row r="2213" spans="1:1" ht="13" x14ac:dyDescent="0.15">
      <c r="A2213" s="4"/>
    </row>
    <row r="2214" spans="1:1" ht="13" x14ac:dyDescent="0.15">
      <c r="A2214" s="4"/>
    </row>
    <row r="2215" spans="1:1" ht="13" x14ac:dyDescent="0.15">
      <c r="A2215" s="4"/>
    </row>
    <row r="2216" spans="1:1" ht="13" x14ac:dyDescent="0.15">
      <c r="A2216" s="4"/>
    </row>
    <row r="2217" spans="1:1" ht="13" x14ac:dyDescent="0.15">
      <c r="A2217" s="4"/>
    </row>
    <row r="2218" spans="1:1" ht="13" x14ac:dyDescent="0.15">
      <c r="A2218" s="4"/>
    </row>
    <row r="2219" spans="1:1" ht="13" x14ac:dyDescent="0.15">
      <c r="A2219" s="4"/>
    </row>
    <row r="2220" spans="1:1" ht="13" x14ac:dyDescent="0.15">
      <c r="A2220" s="4"/>
    </row>
    <row r="2221" spans="1:1" ht="13" x14ac:dyDescent="0.15">
      <c r="A2221" s="4"/>
    </row>
    <row r="2222" spans="1:1" ht="13" x14ac:dyDescent="0.15">
      <c r="A2222" s="4"/>
    </row>
    <row r="2223" spans="1:1" ht="13" x14ac:dyDescent="0.15">
      <c r="A2223" s="4"/>
    </row>
    <row r="2224" spans="1:1" ht="13" x14ac:dyDescent="0.15">
      <c r="A2224" s="4"/>
    </row>
    <row r="2225" spans="1:1" ht="13" x14ac:dyDescent="0.15">
      <c r="A2225" s="4"/>
    </row>
    <row r="2226" spans="1:1" ht="13" x14ac:dyDescent="0.15">
      <c r="A2226" s="4"/>
    </row>
    <row r="2227" spans="1:1" ht="13" x14ac:dyDescent="0.15">
      <c r="A2227" s="4"/>
    </row>
    <row r="2228" spans="1:1" ht="13" x14ac:dyDescent="0.15">
      <c r="A2228" s="4"/>
    </row>
    <row r="2229" spans="1:1" ht="13" x14ac:dyDescent="0.15">
      <c r="A2229" s="4"/>
    </row>
    <row r="2230" spans="1:1" ht="13" x14ac:dyDescent="0.15">
      <c r="A2230" s="4"/>
    </row>
    <row r="2231" spans="1:1" ht="13" x14ac:dyDescent="0.15">
      <c r="A2231" s="4"/>
    </row>
    <row r="2232" spans="1:1" ht="13" x14ac:dyDescent="0.15">
      <c r="A2232" s="4"/>
    </row>
    <row r="2233" spans="1:1" ht="13" x14ac:dyDescent="0.15">
      <c r="A2233" s="4"/>
    </row>
    <row r="2234" spans="1:1" ht="13" x14ac:dyDescent="0.15">
      <c r="A2234" s="4"/>
    </row>
    <row r="2235" spans="1:1" ht="13" x14ac:dyDescent="0.15">
      <c r="A2235" s="4"/>
    </row>
    <row r="2236" spans="1:1" ht="13" x14ac:dyDescent="0.15">
      <c r="A2236" s="4"/>
    </row>
    <row r="2237" spans="1:1" ht="13" x14ac:dyDescent="0.15">
      <c r="A2237" s="4"/>
    </row>
    <row r="2238" spans="1:1" ht="13" x14ac:dyDescent="0.15">
      <c r="A2238" s="4"/>
    </row>
    <row r="2239" spans="1:1" ht="13" x14ac:dyDescent="0.15">
      <c r="A2239" s="4"/>
    </row>
    <row r="2240" spans="1:1" ht="13" x14ac:dyDescent="0.15">
      <c r="A2240" s="4"/>
    </row>
    <row r="2241" spans="1:1" ht="13" x14ac:dyDescent="0.15">
      <c r="A2241" s="4"/>
    </row>
    <row r="2242" spans="1:1" ht="13" x14ac:dyDescent="0.15">
      <c r="A2242" s="4"/>
    </row>
    <row r="2243" spans="1:1" ht="13" x14ac:dyDescent="0.15">
      <c r="A2243" s="4"/>
    </row>
    <row r="2244" spans="1:1" ht="13" x14ac:dyDescent="0.15">
      <c r="A2244" s="4"/>
    </row>
    <row r="2245" spans="1:1" ht="13" x14ac:dyDescent="0.15">
      <c r="A2245" s="4"/>
    </row>
    <row r="2246" spans="1:1" ht="13" x14ac:dyDescent="0.15">
      <c r="A2246" s="4"/>
    </row>
    <row r="2247" spans="1:1" ht="13" x14ac:dyDescent="0.15">
      <c r="A2247" s="4"/>
    </row>
    <row r="2248" spans="1:1" ht="13" x14ac:dyDescent="0.15">
      <c r="A2248" s="4"/>
    </row>
    <row r="2249" spans="1:1" ht="13" x14ac:dyDescent="0.15">
      <c r="A2249" s="4"/>
    </row>
    <row r="2250" spans="1:1" ht="13" x14ac:dyDescent="0.15">
      <c r="A2250" s="4"/>
    </row>
    <row r="2251" spans="1:1" ht="13" x14ac:dyDescent="0.15">
      <c r="A2251" s="4"/>
    </row>
    <row r="2252" spans="1:1" ht="13" x14ac:dyDescent="0.15">
      <c r="A2252" s="4"/>
    </row>
    <row r="2253" spans="1:1" ht="13" x14ac:dyDescent="0.15">
      <c r="A2253" s="4"/>
    </row>
    <row r="2254" spans="1:1" ht="13" x14ac:dyDescent="0.15">
      <c r="A2254" s="4"/>
    </row>
    <row r="2255" spans="1:1" ht="13" x14ac:dyDescent="0.15">
      <c r="A2255" s="4"/>
    </row>
    <row r="2256" spans="1:1" ht="13" x14ac:dyDescent="0.15">
      <c r="A2256" s="4"/>
    </row>
    <row r="2257" spans="1:1" ht="13" x14ac:dyDescent="0.15">
      <c r="A2257" s="4"/>
    </row>
    <row r="2258" spans="1:1" ht="13" x14ac:dyDescent="0.15">
      <c r="A2258" s="4"/>
    </row>
    <row r="2259" spans="1:1" ht="13" x14ac:dyDescent="0.15">
      <c r="A2259" s="4"/>
    </row>
    <row r="2260" spans="1:1" ht="13" x14ac:dyDescent="0.15">
      <c r="A2260" s="4"/>
    </row>
    <row r="2261" spans="1:1" ht="13" x14ac:dyDescent="0.15">
      <c r="A2261" s="4"/>
    </row>
    <row r="2262" spans="1:1" ht="13" x14ac:dyDescent="0.15">
      <c r="A2262" s="4"/>
    </row>
    <row r="2263" spans="1:1" ht="13" x14ac:dyDescent="0.15">
      <c r="A2263" s="4"/>
    </row>
    <row r="2264" spans="1:1" ht="13" x14ac:dyDescent="0.15">
      <c r="A2264" s="4"/>
    </row>
    <row r="2265" spans="1:1" ht="13" x14ac:dyDescent="0.15">
      <c r="A2265" s="4"/>
    </row>
    <row r="2266" spans="1:1" ht="13" x14ac:dyDescent="0.15">
      <c r="A2266" s="4"/>
    </row>
    <row r="2267" spans="1:1" ht="13" x14ac:dyDescent="0.15">
      <c r="A2267" s="4"/>
    </row>
    <row r="2268" spans="1:1" ht="13" x14ac:dyDescent="0.15">
      <c r="A2268" s="4"/>
    </row>
    <row r="2269" spans="1:1" ht="13" x14ac:dyDescent="0.15">
      <c r="A2269" s="4"/>
    </row>
    <row r="2270" spans="1:1" ht="13" x14ac:dyDescent="0.15">
      <c r="A2270" s="4"/>
    </row>
    <row r="2271" spans="1:1" ht="13" x14ac:dyDescent="0.15">
      <c r="A2271" s="4"/>
    </row>
    <row r="2272" spans="1:1" ht="13" x14ac:dyDescent="0.15">
      <c r="A2272" s="4"/>
    </row>
    <row r="2273" spans="1:1" ht="13" x14ac:dyDescent="0.15">
      <c r="A2273" s="4"/>
    </row>
    <row r="2274" spans="1:1" ht="13" x14ac:dyDescent="0.15">
      <c r="A2274" s="4"/>
    </row>
    <row r="2275" spans="1:1" ht="13" x14ac:dyDescent="0.15">
      <c r="A2275" s="4"/>
    </row>
    <row r="2276" spans="1:1" ht="13" x14ac:dyDescent="0.15">
      <c r="A2276" s="4"/>
    </row>
    <row r="2277" spans="1:1" ht="13" x14ac:dyDescent="0.15">
      <c r="A2277" s="4"/>
    </row>
    <row r="2278" spans="1:1" ht="13" x14ac:dyDescent="0.15">
      <c r="A2278" s="4"/>
    </row>
    <row r="2279" spans="1:1" ht="13" x14ac:dyDescent="0.15">
      <c r="A2279" s="4"/>
    </row>
    <row r="2280" spans="1:1" ht="13" x14ac:dyDescent="0.15">
      <c r="A2280" s="4"/>
    </row>
    <row r="2281" spans="1:1" ht="13" x14ac:dyDescent="0.15">
      <c r="A2281" s="4"/>
    </row>
    <row r="2282" spans="1:1" ht="13" x14ac:dyDescent="0.15">
      <c r="A2282" s="4"/>
    </row>
    <row r="2283" spans="1:1" ht="13" x14ac:dyDescent="0.15">
      <c r="A2283" s="4"/>
    </row>
    <row r="2284" spans="1:1" ht="13" x14ac:dyDescent="0.15">
      <c r="A2284" s="4"/>
    </row>
    <row r="2285" spans="1:1" ht="13" x14ac:dyDescent="0.15">
      <c r="A2285" s="4"/>
    </row>
    <row r="2286" spans="1:1" ht="13" x14ac:dyDescent="0.15">
      <c r="A2286" s="4"/>
    </row>
    <row r="2287" spans="1:1" ht="13" x14ac:dyDescent="0.15">
      <c r="A2287" s="4"/>
    </row>
    <row r="2288" spans="1:1" ht="13" x14ac:dyDescent="0.15">
      <c r="A2288" s="4"/>
    </row>
    <row r="2289" spans="1:1" ht="13" x14ac:dyDescent="0.15">
      <c r="A2289" s="4"/>
    </row>
    <row r="2290" spans="1:1" ht="13" x14ac:dyDescent="0.15">
      <c r="A2290" s="4"/>
    </row>
    <row r="2291" spans="1:1" ht="13" x14ac:dyDescent="0.15">
      <c r="A2291" s="4"/>
    </row>
    <row r="2292" spans="1:1" ht="13" x14ac:dyDescent="0.15">
      <c r="A2292" s="4"/>
    </row>
    <row r="2293" spans="1:1" ht="13" x14ac:dyDescent="0.15">
      <c r="A2293" s="4"/>
    </row>
    <row r="2294" spans="1:1" ht="13" x14ac:dyDescent="0.15">
      <c r="A2294" s="4"/>
    </row>
    <row r="2295" spans="1:1" ht="13" x14ac:dyDescent="0.15">
      <c r="A2295" s="4"/>
    </row>
    <row r="2296" spans="1:1" ht="13" x14ac:dyDescent="0.15">
      <c r="A2296" s="4"/>
    </row>
    <row r="2297" spans="1:1" ht="13" x14ac:dyDescent="0.15">
      <c r="A2297" s="4"/>
    </row>
    <row r="2298" spans="1:1" ht="13" x14ac:dyDescent="0.15">
      <c r="A2298" s="4"/>
    </row>
    <row r="2299" spans="1:1" ht="13" x14ac:dyDescent="0.15">
      <c r="A2299" s="4"/>
    </row>
    <row r="2300" spans="1:1" ht="13" x14ac:dyDescent="0.15">
      <c r="A2300" s="4"/>
    </row>
    <row r="2301" spans="1:1" ht="13" x14ac:dyDescent="0.15">
      <c r="A2301" s="4"/>
    </row>
    <row r="2302" spans="1:1" ht="13" x14ac:dyDescent="0.15">
      <c r="A2302" s="4"/>
    </row>
    <row r="2303" spans="1:1" ht="13" x14ac:dyDescent="0.15">
      <c r="A2303" s="4"/>
    </row>
    <row r="2304" spans="1:1" ht="13" x14ac:dyDescent="0.15">
      <c r="A2304" s="4"/>
    </row>
    <row r="2305" spans="1:1" ht="13" x14ac:dyDescent="0.15">
      <c r="A2305" s="4"/>
    </row>
    <row r="2306" spans="1:1" ht="13" x14ac:dyDescent="0.15">
      <c r="A2306" s="4"/>
    </row>
    <row r="2307" spans="1:1" ht="13" x14ac:dyDescent="0.15">
      <c r="A2307" s="4"/>
    </row>
    <row r="2308" spans="1:1" ht="13" x14ac:dyDescent="0.15">
      <c r="A2308" s="4"/>
    </row>
    <row r="2309" spans="1:1" ht="13" x14ac:dyDescent="0.15">
      <c r="A2309" s="4"/>
    </row>
    <row r="2310" spans="1:1" ht="13" x14ac:dyDescent="0.15">
      <c r="A2310" s="4"/>
    </row>
    <row r="2311" spans="1:1" ht="13" x14ac:dyDescent="0.15">
      <c r="A2311" s="4"/>
    </row>
    <row r="2312" spans="1:1" ht="13" x14ac:dyDescent="0.15">
      <c r="A2312" s="4"/>
    </row>
    <row r="2313" spans="1:1" ht="13" x14ac:dyDescent="0.15">
      <c r="A2313" s="4"/>
    </row>
    <row r="2314" spans="1:1" ht="13" x14ac:dyDescent="0.15">
      <c r="A2314" s="4"/>
    </row>
    <row r="2315" spans="1:1" ht="13" x14ac:dyDescent="0.15">
      <c r="A2315" s="4"/>
    </row>
    <row r="2316" spans="1:1" ht="13" x14ac:dyDescent="0.15">
      <c r="A2316" s="4"/>
    </row>
    <row r="2317" spans="1:1" ht="13" x14ac:dyDescent="0.15">
      <c r="A2317" s="4"/>
    </row>
    <row r="2318" spans="1:1" ht="13" x14ac:dyDescent="0.15">
      <c r="A2318" s="4"/>
    </row>
    <row r="2319" spans="1:1" ht="13" x14ac:dyDescent="0.15">
      <c r="A2319" s="4"/>
    </row>
    <row r="2320" spans="1:1" ht="13" x14ac:dyDescent="0.15">
      <c r="A2320" s="4"/>
    </row>
    <row r="2321" spans="1:1" ht="13" x14ac:dyDescent="0.15">
      <c r="A2321" s="4"/>
    </row>
    <row r="2322" spans="1:1" ht="13" x14ac:dyDescent="0.15">
      <c r="A2322" s="4"/>
    </row>
    <row r="2323" spans="1:1" ht="13" x14ac:dyDescent="0.15">
      <c r="A2323" s="4"/>
    </row>
    <row r="2324" spans="1:1" ht="13" x14ac:dyDescent="0.15">
      <c r="A2324" s="4"/>
    </row>
    <row r="2325" spans="1:1" ht="13" x14ac:dyDescent="0.15">
      <c r="A2325" s="4"/>
    </row>
    <row r="2326" spans="1:1" ht="13" x14ac:dyDescent="0.15">
      <c r="A2326" s="4"/>
    </row>
    <row r="2327" spans="1:1" ht="13" x14ac:dyDescent="0.15">
      <c r="A2327" s="4"/>
    </row>
    <row r="2328" spans="1:1" ht="13" x14ac:dyDescent="0.15">
      <c r="A2328" s="4"/>
    </row>
    <row r="2329" spans="1:1" ht="13" x14ac:dyDescent="0.15">
      <c r="A2329" s="4"/>
    </row>
    <row r="2330" spans="1:1" ht="13" x14ac:dyDescent="0.15">
      <c r="A2330" s="4"/>
    </row>
    <row r="2331" spans="1:1" ht="13" x14ac:dyDescent="0.15">
      <c r="A2331" s="4"/>
    </row>
    <row r="2332" spans="1:1" ht="13" x14ac:dyDescent="0.15">
      <c r="A2332" s="4"/>
    </row>
    <row r="2333" spans="1:1" ht="13" x14ac:dyDescent="0.15">
      <c r="A2333" s="4"/>
    </row>
    <row r="2334" spans="1:1" ht="13" x14ac:dyDescent="0.15">
      <c r="A2334" s="4"/>
    </row>
    <row r="2335" spans="1:1" ht="13" x14ac:dyDescent="0.15">
      <c r="A2335" s="4"/>
    </row>
    <row r="2336" spans="1:1" ht="13" x14ac:dyDescent="0.15">
      <c r="A2336" s="4"/>
    </row>
    <row r="2337" spans="1:1" ht="13" x14ac:dyDescent="0.15">
      <c r="A2337" s="4"/>
    </row>
    <row r="2338" spans="1:1" ht="13" x14ac:dyDescent="0.15">
      <c r="A2338" s="4"/>
    </row>
    <row r="2339" spans="1:1" ht="13" x14ac:dyDescent="0.15">
      <c r="A2339" s="4"/>
    </row>
    <row r="2340" spans="1:1" ht="13" x14ac:dyDescent="0.15">
      <c r="A2340" s="4"/>
    </row>
    <row r="2341" spans="1:1" ht="13" x14ac:dyDescent="0.15">
      <c r="A2341" s="4"/>
    </row>
    <row r="2342" spans="1:1" ht="13" x14ac:dyDescent="0.15">
      <c r="A2342" s="4"/>
    </row>
    <row r="2343" spans="1:1" ht="13" x14ac:dyDescent="0.15">
      <c r="A2343" s="4"/>
    </row>
    <row r="2344" spans="1:1" ht="13" x14ac:dyDescent="0.15">
      <c r="A2344" s="4"/>
    </row>
    <row r="2345" spans="1:1" ht="13" x14ac:dyDescent="0.15">
      <c r="A2345" s="4"/>
    </row>
    <row r="2346" spans="1:1" ht="13" x14ac:dyDescent="0.15">
      <c r="A2346" s="4"/>
    </row>
    <row r="2347" spans="1:1" ht="13" x14ac:dyDescent="0.15">
      <c r="A2347" s="4"/>
    </row>
    <row r="2348" spans="1:1" ht="13" x14ac:dyDescent="0.15">
      <c r="A2348" s="4"/>
    </row>
    <row r="2349" spans="1:1" ht="13" x14ac:dyDescent="0.15">
      <c r="A2349" s="4"/>
    </row>
    <row r="2350" spans="1:1" ht="13" x14ac:dyDescent="0.15">
      <c r="A2350" s="4"/>
    </row>
    <row r="2351" spans="1:1" ht="13" x14ac:dyDescent="0.15">
      <c r="A2351" s="4"/>
    </row>
    <row r="2352" spans="1:1" ht="13" x14ac:dyDescent="0.15">
      <c r="A2352" s="4"/>
    </row>
    <row r="2353" spans="1:1" ht="13" x14ac:dyDescent="0.15">
      <c r="A2353" s="4"/>
    </row>
    <row r="2354" spans="1:1" ht="13" x14ac:dyDescent="0.15">
      <c r="A2354" s="4"/>
    </row>
    <row r="2355" spans="1:1" ht="13" x14ac:dyDescent="0.15">
      <c r="A2355" s="4"/>
    </row>
    <row r="2356" spans="1:1" ht="13" x14ac:dyDescent="0.15">
      <c r="A2356" s="4"/>
    </row>
    <row r="2357" spans="1:1" ht="13" x14ac:dyDescent="0.15">
      <c r="A2357" s="4"/>
    </row>
    <row r="2358" spans="1:1" ht="13" x14ac:dyDescent="0.15">
      <c r="A2358" s="4"/>
    </row>
    <row r="2359" spans="1:1" ht="13" x14ac:dyDescent="0.15">
      <c r="A2359" s="4"/>
    </row>
    <row r="2360" spans="1:1" ht="13" x14ac:dyDescent="0.15">
      <c r="A2360" s="4"/>
    </row>
    <row r="2361" spans="1:1" ht="13" x14ac:dyDescent="0.15">
      <c r="A2361" s="4"/>
    </row>
    <row r="2362" spans="1:1" ht="13" x14ac:dyDescent="0.15">
      <c r="A2362" s="4"/>
    </row>
    <row r="2363" spans="1:1" ht="13" x14ac:dyDescent="0.15">
      <c r="A2363" s="4"/>
    </row>
    <row r="2364" spans="1:1" ht="13" x14ac:dyDescent="0.15">
      <c r="A2364" s="4"/>
    </row>
    <row r="2365" spans="1:1" ht="13" x14ac:dyDescent="0.15">
      <c r="A2365" s="4"/>
    </row>
    <row r="2366" spans="1:1" ht="13" x14ac:dyDescent="0.15">
      <c r="A2366" s="4"/>
    </row>
    <row r="2367" spans="1:1" ht="13" x14ac:dyDescent="0.15">
      <c r="A2367" s="4"/>
    </row>
    <row r="2368" spans="1:1" ht="13" x14ac:dyDescent="0.15">
      <c r="A2368" s="4"/>
    </row>
    <row r="2369" spans="1:1" ht="13" x14ac:dyDescent="0.15">
      <c r="A2369" s="4"/>
    </row>
    <row r="2370" spans="1:1" ht="13" x14ac:dyDescent="0.15">
      <c r="A2370" s="4"/>
    </row>
    <row r="2371" spans="1:1" ht="13" x14ac:dyDescent="0.15">
      <c r="A2371" s="4"/>
    </row>
    <row r="2372" spans="1:1" ht="13" x14ac:dyDescent="0.15">
      <c r="A2372" s="4"/>
    </row>
    <row r="2373" spans="1:1" ht="13" x14ac:dyDescent="0.15">
      <c r="A2373" s="4"/>
    </row>
    <row r="2374" spans="1:1" ht="13" x14ac:dyDescent="0.15">
      <c r="A2374" s="4"/>
    </row>
    <row r="2375" spans="1:1" ht="13" x14ac:dyDescent="0.15">
      <c r="A2375" s="4"/>
    </row>
    <row r="2376" spans="1:1" ht="13" x14ac:dyDescent="0.15">
      <c r="A2376" s="4"/>
    </row>
    <row r="2377" spans="1:1" ht="13" x14ac:dyDescent="0.15">
      <c r="A2377" s="4"/>
    </row>
    <row r="2378" spans="1:1" ht="13" x14ac:dyDescent="0.15">
      <c r="A2378" s="4"/>
    </row>
    <row r="2379" spans="1:1" ht="13" x14ac:dyDescent="0.15">
      <c r="A2379" s="4"/>
    </row>
    <row r="2380" spans="1:1" ht="13" x14ac:dyDescent="0.15">
      <c r="A2380" s="4"/>
    </row>
    <row r="2381" spans="1:1" ht="13" x14ac:dyDescent="0.15">
      <c r="A2381" s="4"/>
    </row>
    <row r="2382" spans="1:1" ht="13" x14ac:dyDescent="0.15">
      <c r="A2382" s="4"/>
    </row>
    <row r="2383" spans="1:1" ht="13" x14ac:dyDescent="0.15">
      <c r="A2383" s="4"/>
    </row>
    <row r="2384" spans="1:1" ht="13" x14ac:dyDescent="0.15">
      <c r="A2384" s="4"/>
    </row>
    <row r="2385" spans="1:1" ht="13" x14ac:dyDescent="0.15">
      <c r="A2385" s="4"/>
    </row>
    <row r="2386" spans="1:1" ht="13" x14ac:dyDescent="0.15">
      <c r="A2386" s="4"/>
    </row>
    <row r="2387" spans="1:1" ht="13" x14ac:dyDescent="0.15">
      <c r="A2387" s="4"/>
    </row>
    <row r="2388" spans="1:1" ht="13" x14ac:dyDescent="0.15">
      <c r="A2388" s="4"/>
    </row>
    <row r="2389" spans="1:1" ht="13" x14ac:dyDescent="0.15">
      <c r="A2389" s="4"/>
    </row>
    <row r="2390" spans="1:1" ht="13" x14ac:dyDescent="0.15">
      <c r="A2390" s="4"/>
    </row>
    <row r="2391" spans="1:1" ht="13" x14ac:dyDescent="0.15">
      <c r="A2391" s="4"/>
    </row>
    <row r="2392" spans="1:1" ht="13" x14ac:dyDescent="0.15">
      <c r="A2392" s="4"/>
    </row>
    <row r="2393" spans="1:1" ht="13" x14ac:dyDescent="0.15">
      <c r="A2393" s="4"/>
    </row>
    <row r="2394" spans="1:1" ht="13" x14ac:dyDescent="0.15">
      <c r="A2394" s="4"/>
    </row>
    <row r="2395" spans="1:1" ht="13" x14ac:dyDescent="0.15">
      <c r="A2395" s="4"/>
    </row>
    <row r="2396" spans="1:1" ht="13" x14ac:dyDescent="0.15">
      <c r="A2396" s="4"/>
    </row>
    <row r="2397" spans="1:1" ht="13" x14ac:dyDescent="0.15">
      <c r="A2397" s="4"/>
    </row>
    <row r="2398" spans="1:1" ht="13" x14ac:dyDescent="0.15">
      <c r="A2398" s="4"/>
    </row>
    <row r="2399" spans="1:1" ht="13" x14ac:dyDescent="0.15">
      <c r="A2399" s="4"/>
    </row>
    <row r="2400" spans="1:1" ht="13" x14ac:dyDescent="0.15">
      <c r="A2400" s="4"/>
    </row>
    <row r="2401" spans="1:1" ht="13" x14ac:dyDescent="0.15">
      <c r="A2401" s="4"/>
    </row>
    <row r="2402" spans="1:1" ht="13" x14ac:dyDescent="0.15">
      <c r="A2402" s="4"/>
    </row>
    <row r="2403" spans="1:1" ht="13" x14ac:dyDescent="0.15">
      <c r="A2403" s="4"/>
    </row>
    <row r="2404" spans="1:1" ht="13" x14ac:dyDescent="0.15">
      <c r="A2404" s="4"/>
    </row>
    <row r="2405" spans="1:1" ht="13" x14ac:dyDescent="0.15">
      <c r="A2405" s="4"/>
    </row>
    <row r="2406" spans="1:1" ht="13" x14ac:dyDescent="0.15">
      <c r="A2406" s="4"/>
    </row>
    <row r="2407" spans="1:1" ht="13" x14ac:dyDescent="0.15">
      <c r="A2407" s="4"/>
    </row>
    <row r="2408" spans="1:1" ht="13" x14ac:dyDescent="0.15">
      <c r="A2408" s="4"/>
    </row>
    <row r="2409" spans="1:1" ht="13" x14ac:dyDescent="0.15">
      <c r="A2409" s="4"/>
    </row>
    <row r="2410" spans="1:1" ht="13" x14ac:dyDescent="0.15">
      <c r="A2410" s="4"/>
    </row>
    <row r="2411" spans="1:1" ht="13" x14ac:dyDescent="0.15">
      <c r="A2411" s="4"/>
    </row>
    <row r="2412" spans="1:1" ht="13" x14ac:dyDescent="0.15">
      <c r="A2412" s="4"/>
    </row>
    <row r="2413" spans="1:1" ht="13" x14ac:dyDescent="0.15">
      <c r="A2413" s="4"/>
    </row>
    <row r="2414" spans="1:1" ht="13" x14ac:dyDescent="0.15">
      <c r="A2414" s="4"/>
    </row>
    <row r="2415" spans="1:1" ht="13" x14ac:dyDescent="0.15">
      <c r="A2415" s="4"/>
    </row>
    <row r="2416" spans="1:1" ht="13" x14ac:dyDescent="0.15">
      <c r="A2416" s="4"/>
    </row>
    <row r="2417" spans="1:1" ht="13" x14ac:dyDescent="0.15">
      <c r="A2417" s="4"/>
    </row>
    <row r="2418" spans="1:1" ht="13" x14ac:dyDescent="0.15">
      <c r="A2418" s="4"/>
    </row>
    <row r="2419" spans="1:1" ht="13" x14ac:dyDescent="0.15">
      <c r="A2419" s="4"/>
    </row>
    <row r="2420" spans="1:1" ht="13" x14ac:dyDescent="0.15">
      <c r="A2420" s="4"/>
    </row>
    <row r="2421" spans="1:1" ht="13" x14ac:dyDescent="0.15">
      <c r="A2421" s="4"/>
    </row>
    <row r="2422" spans="1:1" ht="13" x14ac:dyDescent="0.15">
      <c r="A2422" s="4"/>
    </row>
    <row r="2423" spans="1:1" ht="13" x14ac:dyDescent="0.15">
      <c r="A2423" s="4"/>
    </row>
    <row r="2424" spans="1:1" ht="13" x14ac:dyDescent="0.15">
      <c r="A2424" s="4"/>
    </row>
    <row r="2425" spans="1:1" ht="13" x14ac:dyDescent="0.15">
      <c r="A2425" s="4"/>
    </row>
    <row r="2426" spans="1:1" ht="13" x14ac:dyDescent="0.15">
      <c r="A2426" s="4"/>
    </row>
    <row r="2427" spans="1:1" ht="13" x14ac:dyDescent="0.15">
      <c r="A2427" s="4"/>
    </row>
    <row r="2428" spans="1:1" ht="13" x14ac:dyDescent="0.15">
      <c r="A2428" s="4"/>
    </row>
    <row r="2429" spans="1:1" ht="13" x14ac:dyDescent="0.15">
      <c r="A2429" s="4"/>
    </row>
    <row r="2430" spans="1:1" ht="13" x14ac:dyDescent="0.15">
      <c r="A2430" s="4"/>
    </row>
    <row r="2431" spans="1:1" ht="13" x14ac:dyDescent="0.15">
      <c r="A2431" s="4"/>
    </row>
    <row r="2432" spans="1:1" ht="13" x14ac:dyDescent="0.15">
      <c r="A2432" s="4"/>
    </row>
    <row r="2433" spans="1:1" ht="13" x14ac:dyDescent="0.15">
      <c r="A2433" s="4"/>
    </row>
    <row r="2434" spans="1:1" ht="13" x14ac:dyDescent="0.15">
      <c r="A2434" s="4"/>
    </row>
    <row r="2435" spans="1:1" ht="13" x14ac:dyDescent="0.15">
      <c r="A2435" s="4"/>
    </row>
    <row r="2436" spans="1:1" ht="13" x14ac:dyDescent="0.15">
      <c r="A2436" s="4"/>
    </row>
    <row r="2437" spans="1:1" ht="13" x14ac:dyDescent="0.15">
      <c r="A2437" s="4"/>
    </row>
    <row r="2438" spans="1:1" ht="13" x14ac:dyDescent="0.15">
      <c r="A2438" s="4"/>
    </row>
    <row r="2439" spans="1:1" ht="13" x14ac:dyDescent="0.15">
      <c r="A2439" s="4"/>
    </row>
    <row r="2440" spans="1:1" ht="13" x14ac:dyDescent="0.15">
      <c r="A2440" s="4"/>
    </row>
    <row r="2441" spans="1:1" ht="13" x14ac:dyDescent="0.15">
      <c r="A2441" s="4"/>
    </row>
    <row r="2442" spans="1:1" ht="13" x14ac:dyDescent="0.15">
      <c r="A2442" s="4"/>
    </row>
    <row r="2443" spans="1:1" ht="13" x14ac:dyDescent="0.15">
      <c r="A2443" s="4"/>
    </row>
    <row r="2444" spans="1:1" ht="13" x14ac:dyDescent="0.15">
      <c r="A2444" s="4"/>
    </row>
    <row r="2445" spans="1:1" ht="13" x14ac:dyDescent="0.15">
      <c r="A2445" s="4"/>
    </row>
    <row r="2446" spans="1:1" ht="13" x14ac:dyDescent="0.15">
      <c r="A2446" s="4"/>
    </row>
    <row r="2447" spans="1:1" ht="13" x14ac:dyDescent="0.15">
      <c r="A2447" s="4"/>
    </row>
    <row r="2448" spans="1:1" ht="13" x14ac:dyDescent="0.15">
      <c r="A2448" s="4"/>
    </row>
    <row r="2449" spans="1:1" ht="13" x14ac:dyDescent="0.15">
      <c r="A2449" s="4"/>
    </row>
    <row r="2450" spans="1:1" ht="13" x14ac:dyDescent="0.15">
      <c r="A2450" s="4"/>
    </row>
    <row r="2451" spans="1:1" ht="13" x14ac:dyDescent="0.15">
      <c r="A2451" s="4"/>
    </row>
    <row r="2452" spans="1:1" ht="13" x14ac:dyDescent="0.15">
      <c r="A2452" s="4"/>
    </row>
    <row r="2453" spans="1:1" ht="13" x14ac:dyDescent="0.15">
      <c r="A2453" s="4"/>
    </row>
    <row r="2454" spans="1:1" ht="13" x14ac:dyDescent="0.15">
      <c r="A2454" s="4"/>
    </row>
    <row r="2455" spans="1:1" ht="13" x14ac:dyDescent="0.15">
      <c r="A2455" s="4"/>
    </row>
    <row r="2456" spans="1:1" ht="13" x14ac:dyDescent="0.15">
      <c r="A2456" s="4"/>
    </row>
    <row r="2457" spans="1:1" ht="13" x14ac:dyDescent="0.15">
      <c r="A2457" s="4"/>
    </row>
    <row r="2458" spans="1:1" ht="13" x14ac:dyDescent="0.15">
      <c r="A2458" s="4"/>
    </row>
    <row r="2459" spans="1:1" ht="13" x14ac:dyDescent="0.15">
      <c r="A2459" s="4"/>
    </row>
    <row r="2460" spans="1:1" ht="13" x14ac:dyDescent="0.15">
      <c r="A2460" s="4"/>
    </row>
    <row r="2461" spans="1:1" ht="13" x14ac:dyDescent="0.15">
      <c r="A2461" s="4"/>
    </row>
    <row r="2462" spans="1:1" ht="13" x14ac:dyDescent="0.15">
      <c r="A2462" s="4"/>
    </row>
    <row r="2463" spans="1:1" ht="13" x14ac:dyDescent="0.15">
      <c r="A2463" s="4"/>
    </row>
    <row r="2464" spans="1:1" ht="13" x14ac:dyDescent="0.15">
      <c r="A2464" s="4"/>
    </row>
    <row r="2465" spans="1:1" ht="13" x14ac:dyDescent="0.15">
      <c r="A2465" s="4"/>
    </row>
    <row r="2466" spans="1:1" ht="13" x14ac:dyDescent="0.15">
      <c r="A2466" s="4"/>
    </row>
    <row r="2467" spans="1:1" ht="13" x14ac:dyDescent="0.15">
      <c r="A2467" s="4"/>
    </row>
    <row r="2468" spans="1:1" ht="13" x14ac:dyDescent="0.15">
      <c r="A2468" s="4"/>
    </row>
    <row r="2469" spans="1:1" ht="13" x14ac:dyDescent="0.15">
      <c r="A2469" s="4"/>
    </row>
    <row r="2470" spans="1:1" ht="13" x14ac:dyDescent="0.15">
      <c r="A2470" s="4"/>
    </row>
    <row r="2471" spans="1:1" ht="13" x14ac:dyDescent="0.15">
      <c r="A2471" s="4"/>
    </row>
    <row r="2472" spans="1:1" ht="13" x14ac:dyDescent="0.15">
      <c r="A2472" s="4"/>
    </row>
    <row r="2473" spans="1:1" ht="13" x14ac:dyDescent="0.15">
      <c r="A2473" s="4"/>
    </row>
    <row r="2474" spans="1:1" ht="13" x14ac:dyDescent="0.15">
      <c r="A2474" s="4"/>
    </row>
    <row r="2475" spans="1:1" ht="13" x14ac:dyDescent="0.15">
      <c r="A2475" s="4"/>
    </row>
    <row r="2476" spans="1:1" ht="13" x14ac:dyDescent="0.15">
      <c r="A2476" s="4"/>
    </row>
    <row r="2477" spans="1:1" ht="13" x14ac:dyDescent="0.15">
      <c r="A2477" s="4"/>
    </row>
    <row r="2478" spans="1:1" ht="13" x14ac:dyDescent="0.15">
      <c r="A2478" s="4"/>
    </row>
    <row r="2479" spans="1:1" ht="13" x14ac:dyDescent="0.15">
      <c r="A2479" s="4"/>
    </row>
    <row r="2480" spans="1:1" ht="13" x14ac:dyDescent="0.15">
      <c r="A2480" s="4"/>
    </row>
    <row r="2481" spans="1:1" ht="13" x14ac:dyDescent="0.15">
      <c r="A2481" s="4"/>
    </row>
    <row r="2482" spans="1:1" ht="13" x14ac:dyDescent="0.15">
      <c r="A2482" s="4"/>
    </row>
    <row r="2483" spans="1:1" ht="13" x14ac:dyDescent="0.15">
      <c r="A2483" s="4"/>
    </row>
    <row r="2484" spans="1:1" ht="13" x14ac:dyDescent="0.15">
      <c r="A2484" s="4"/>
    </row>
    <row r="2485" spans="1:1" ht="13" x14ac:dyDescent="0.15">
      <c r="A2485" s="4"/>
    </row>
    <row r="2486" spans="1:1" ht="13" x14ac:dyDescent="0.15">
      <c r="A2486" s="4"/>
    </row>
    <row r="2487" spans="1:1" ht="13" x14ac:dyDescent="0.15">
      <c r="A2487" s="4"/>
    </row>
    <row r="2488" spans="1:1" ht="13" x14ac:dyDescent="0.15">
      <c r="A2488" s="4"/>
    </row>
    <row r="2489" spans="1:1" ht="13" x14ac:dyDescent="0.15">
      <c r="A2489" s="4"/>
    </row>
    <row r="2490" spans="1:1" ht="13" x14ac:dyDescent="0.15">
      <c r="A2490" s="4"/>
    </row>
    <row r="2491" spans="1:1" ht="13" x14ac:dyDescent="0.15">
      <c r="A2491" s="4"/>
    </row>
    <row r="2492" spans="1:1" ht="13" x14ac:dyDescent="0.15">
      <c r="A2492" s="4"/>
    </row>
    <row r="2493" spans="1:1" ht="13" x14ac:dyDescent="0.15">
      <c r="A2493" s="4"/>
    </row>
    <row r="2494" spans="1:1" ht="13" x14ac:dyDescent="0.15">
      <c r="A2494" s="4"/>
    </row>
    <row r="2495" spans="1:1" ht="13" x14ac:dyDescent="0.15">
      <c r="A2495" s="4"/>
    </row>
    <row r="2496" spans="1:1" ht="13" x14ac:dyDescent="0.15">
      <c r="A2496" s="4"/>
    </row>
    <row r="2497" spans="1:1" ht="13" x14ac:dyDescent="0.15">
      <c r="A2497" s="4"/>
    </row>
    <row r="2498" spans="1:1" ht="13" x14ac:dyDescent="0.15">
      <c r="A2498" s="4"/>
    </row>
    <row r="2499" spans="1:1" ht="13" x14ac:dyDescent="0.15">
      <c r="A2499" s="4"/>
    </row>
    <row r="2500" spans="1:1" ht="13" x14ac:dyDescent="0.15">
      <c r="A2500" s="4"/>
    </row>
    <row r="2501" spans="1:1" ht="13" x14ac:dyDescent="0.15">
      <c r="A2501" s="4"/>
    </row>
    <row r="2502" spans="1:1" ht="13" x14ac:dyDescent="0.15">
      <c r="A2502" s="4"/>
    </row>
    <row r="2503" spans="1:1" ht="13" x14ac:dyDescent="0.15">
      <c r="A2503" s="4"/>
    </row>
    <row r="2504" spans="1:1" ht="13" x14ac:dyDescent="0.15">
      <c r="A2504" s="4"/>
    </row>
    <row r="2505" spans="1:1" ht="13" x14ac:dyDescent="0.15">
      <c r="A2505" s="4"/>
    </row>
    <row r="2506" spans="1:1" ht="13" x14ac:dyDescent="0.15">
      <c r="A2506" s="4"/>
    </row>
    <row r="2507" spans="1:1" ht="13" x14ac:dyDescent="0.15">
      <c r="A2507" s="4"/>
    </row>
    <row r="2508" spans="1:1" ht="13" x14ac:dyDescent="0.15">
      <c r="A2508" s="4"/>
    </row>
    <row r="2509" spans="1:1" ht="13" x14ac:dyDescent="0.15">
      <c r="A2509" s="4"/>
    </row>
    <row r="2510" spans="1:1" ht="13" x14ac:dyDescent="0.15">
      <c r="A2510" s="4"/>
    </row>
    <row r="2511" spans="1:1" ht="13" x14ac:dyDescent="0.15">
      <c r="A2511" s="4"/>
    </row>
    <row r="2512" spans="1:1" ht="13" x14ac:dyDescent="0.15">
      <c r="A2512" s="4"/>
    </row>
    <row r="2513" spans="1:1" ht="13" x14ac:dyDescent="0.15">
      <c r="A2513" s="4"/>
    </row>
    <row r="2514" spans="1:1" ht="13" x14ac:dyDescent="0.15">
      <c r="A2514" s="4"/>
    </row>
    <row r="2515" spans="1:1" ht="13" x14ac:dyDescent="0.15">
      <c r="A2515" s="4"/>
    </row>
    <row r="2516" spans="1:1" ht="13" x14ac:dyDescent="0.15">
      <c r="A2516" s="4"/>
    </row>
    <row r="2517" spans="1:1" ht="13" x14ac:dyDescent="0.15">
      <c r="A2517" s="4"/>
    </row>
    <row r="2518" spans="1:1" ht="13" x14ac:dyDescent="0.15">
      <c r="A2518" s="4"/>
    </row>
    <row r="2519" spans="1:1" ht="13" x14ac:dyDescent="0.15">
      <c r="A2519" s="4"/>
    </row>
    <row r="2520" spans="1:1" ht="13" x14ac:dyDescent="0.15">
      <c r="A2520" s="4"/>
    </row>
    <row r="2521" spans="1:1" ht="13" x14ac:dyDescent="0.15">
      <c r="A2521" s="4"/>
    </row>
    <row r="2522" spans="1:1" ht="13" x14ac:dyDescent="0.15">
      <c r="A2522" s="4"/>
    </row>
    <row r="2523" spans="1:1" ht="13" x14ac:dyDescent="0.15">
      <c r="A2523" s="4"/>
    </row>
    <row r="2524" spans="1:1" ht="13" x14ac:dyDescent="0.15">
      <c r="A2524" s="4"/>
    </row>
    <row r="2525" spans="1:1" ht="13" x14ac:dyDescent="0.15">
      <c r="A2525" s="4"/>
    </row>
    <row r="2526" spans="1:1" ht="13" x14ac:dyDescent="0.15">
      <c r="A2526" s="4"/>
    </row>
    <row r="2527" spans="1:1" ht="13" x14ac:dyDescent="0.15">
      <c r="A2527" s="4"/>
    </row>
    <row r="2528" spans="1:1" ht="13" x14ac:dyDescent="0.15">
      <c r="A2528" s="4"/>
    </row>
    <row r="2529" spans="1:1" ht="13" x14ac:dyDescent="0.15">
      <c r="A2529" s="4"/>
    </row>
    <row r="2530" spans="1:1" ht="13" x14ac:dyDescent="0.15">
      <c r="A2530" s="4"/>
    </row>
    <row r="2531" spans="1:1" ht="13" x14ac:dyDescent="0.15">
      <c r="A2531" s="4"/>
    </row>
    <row r="2532" spans="1:1" ht="13" x14ac:dyDescent="0.15">
      <c r="A2532" s="4"/>
    </row>
    <row r="2533" spans="1:1" ht="13" x14ac:dyDescent="0.15">
      <c r="A2533" s="4"/>
    </row>
    <row r="2534" spans="1:1" ht="13" x14ac:dyDescent="0.15">
      <c r="A2534" s="4"/>
    </row>
    <row r="2535" spans="1:1" ht="13" x14ac:dyDescent="0.15">
      <c r="A2535" s="4"/>
    </row>
    <row r="2536" spans="1:1" ht="13" x14ac:dyDescent="0.15">
      <c r="A2536" s="4"/>
    </row>
    <row r="2537" spans="1:1" ht="13" x14ac:dyDescent="0.15">
      <c r="A2537" s="4"/>
    </row>
    <row r="2538" spans="1:1" ht="13" x14ac:dyDescent="0.15">
      <c r="A2538" s="4"/>
    </row>
    <row r="2539" spans="1:1" ht="13" x14ac:dyDescent="0.15">
      <c r="A2539" s="4"/>
    </row>
    <row r="2540" spans="1:1" ht="13" x14ac:dyDescent="0.15">
      <c r="A2540" s="4"/>
    </row>
    <row r="2541" spans="1:1" ht="13" x14ac:dyDescent="0.15">
      <c r="A2541" s="4"/>
    </row>
    <row r="2542" spans="1:1" ht="13" x14ac:dyDescent="0.15">
      <c r="A2542" s="4"/>
    </row>
    <row r="2543" spans="1:1" ht="13" x14ac:dyDescent="0.15">
      <c r="A2543" s="4"/>
    </row>
    <row r="2544" spans="1:1" ht="13" x14ac:dyDescent="0.15">
      <c r="A2544" s="4"/>
    </row>
    <row r="2545" spans="1:1" ht="13" x14ac:dyDescent="0.15">
      <c r="A2545" s="4"/>
    </row>
    <row r="2546" spans="1:1" ht="13" x14ac:dyDescent="0.15">
      <c r="A2546" s="4"/>
    </row>
    <row r="2547" spans="1:1" ht="13" x14ac:dyDescent="0.15">
      <c r="A2547" s="4"/>
    </row>
    <row r="2548" spans="1:1" ht="13" x14ac:dyDescent="0.15">
      <c r="A2548" s="4"/>
    </row>
    <row r="2549" spans="1:1" ht="13" x14ac:dyDescent="0.15">
      <c r="A2549" s="4"/>
    </row>
    <row r="2550" spans="1:1" ht="13" x14ac:dyDescent="0.15">
      <c r="A2550" s="4"/>
    </row>
    <row r="2551" spans="1:1" ht="13" x14ac:dyDescent="0.15">
      <c r="A2551" s="4"/>
    </row>
    <row r="2552" spans="1:1" ht="13" x14ac:dyDescent="0.15">
      <c r="A2552" s="4"/>
    </row>
    <row r="2553" spans="1:1" ht="13" x14ac:dyDescent="0.15">
      <c r="A2553" s="4"/>
    </row>
    <row r="2554" spans="1:1" ht="13" x14ac:dyDescent="0.15">
      <c r="A2554" s="4"/>
    </row>
    <row r="2555" spans="1:1" ht="13" x14ac:dyDescent="0.15">
      <c r="A2555" s="4"/>
    </row>
    <row r="2556" spans="1:1" ht="13" x14ac:dyDescent="0.15">
      <c r="A2556" s="4"/>
    </row>
    <row r="2557" spans="1:1" ht="13" x14ac:dyDescent="0.15">
      <c r="A2557" s="4"/>
    </row>
    <row r="2558" spans="1:1" ht="13" x14ac:dyDescent="0.15">
      <c r="A2558" s="4"/>
    </row>
    <row r="2559" spans="1:1" ht="13" x14ac:dyDescent="0.15">
      <c r="A2559" s="4"/>
    </row>
    <row r="2560" spans="1:1" ht="13" x14ac:dyDescent="0.15">
      <c r="A2560" s="4"/>
    </row>
    <row r="2561" spans="1:1" ht="13" x14ac:dyDescent="0.15">
      <c r="A2561" s="4"/>
    </row>
    <row r="2562" spans="1:1" ht="13" x14ac:dyDescent="0.15">
      <c r="A2562" s="4"/>
    </row>
    <row r="2563" spans="1:1" ht="13" x14ac:dyDescent="0.15">
      <c r="A2563" s="4"/>
    </row>
    <row r="2564" spans="1:1" ht="13" x14ac:dyDescent="0.15">
      <c r="A2564" s="4"/>
    </row>
    <row r="2565" spans="1:1" ht="13" x14ac:dyDescent="0.15">
      <c r="A2565" s="4"/>
    </row>
    <row r="2566" spans="1:1" ht="13" x14ac:dyDescent="0.15">
      <c r="A2566" s="4"/>
    </row>
    <row r="2567" spans="1:1" ht="13" x14ac:dyDescent="0.15">
      <c r="A2567" s="4"/>
    </row>
    <row r="2568" spans="1:1" ht="13" x14ac:dyDescent="0.15">
      <c r="A2568" s="4"/>
    </row>
    <row r="2569" spans="1:1" ht="13" x14ac:dyDescent="0.15">
      <c r="A2569" s="4"/>
    </row>
    <row r="2570" spans="1:1" ht="13" x14ac:dyDescent="0.15">
      <c r="A2570" s="4"/>
    </row>
    <row r="2571" spans="1:1" ht="13" x14ac:dyDescent="0.15">
      <c r="A2571" s="4"/>
    </row>
    <row r="2572" spans="1:1" ht="13" x14ac:dyDescent="0.15">
      <c r="A2572" s="4"/>
    </row>
    <row r="2573" spans="1:1" ht="13" x14ac:dyDescent="0.15">
      <c r="A2573" s="4"/>
    </row>
    <row r="2574" spans="1:1" ht="13" x14ac:dyDescent="0.15">
      <c r="A2574" s="4"/>
    </row>
    <row r="2575" spans="1:1" ht="13" x14ac:dyDescent="0.15">
      <c r="A2575" s="4"/>
    </row>
    <row r="2576" spans="1:1" ht="13" x14ac:dyDescent="0.15">
      <c r="A2576" s="4"/>
    </row>
    <row r="2577" spans="1:1" ht="13" x14ac:dyDescent="0.15">
      <c r="A2577" s="4"/>
    </row>
    <row r="2578" spans="1:1" ht="13" x14ac:dyDescent="0.15">
      <c r="A2578" s="4"/>
    </row>
    <row r="2579" spans="1:1" ht="13" x14ac:dyDescent="0.15">
      <c r="A2579" s="4"/>
    </row>
    <row r="2580" spans="1:1" ht="13" x14ac:dyDescent="0.15">
      <c r="A2580" s="4"/>
    </row>
    <row r="2581" spans="1:1" ht="13" x14ac:dyDescent="0.15">
      <c r="A2581" s="4"/>
    </row>
    <row r="2582" spans="1:1" ht="13" x14ac:dyDescent="0.15">
      <c r="A2582" s="4"/>
    </row>
    <row r="2583" spans="1:1" ht="13" x14ac:dyDescent="0.15">
      <c r="A2583" s="4"/>
    </row>
    <row r="2584" spans="1:1" ht="13" x14ac:dyDescent="0.15">
      <c r="A2584" s="4"/>
    </row>
    <row r="2585" spans="1:1" ht="13" x14ac:dyDescent="0.15">
      <c r="A2585" s="4"/>
    </row>
    <row r="2586" spans="1:1" ht="13" x14ac:dyDescent="0.15">
      <c r="A2586" s="4"/>
    </row>
    <row r="2587" spans="1:1" ht="13" x14ac:dyDescent="0.15">
      <c r="A2587" s="4"/>
    </row>
    <row r="2588" spans="1:1" ht="13" x14ac:dyDescent="0.15">
      <c r="A2588" s="4"/>
    </row>
    <row r="2589" spans="1:1" ht="13" x14ac:dyDescent="0.15">
      <c r="A2589" s="4"/>
    </row>
    <row r="2590" spans="1:1" ht="13" x14ac:dyDescent="0.15">
      <c r="A2590" s="4"/>
    </row>
    <row r="2591" spans="1:1" ht="13" x14ac:dyDescent="0.15">
      <c r="A2591" s="4"/>
    </row>
    <row r="2592" spans="1:1" ht="13" x14ac:dyDescent="0.15">
      <c r="A2592" s="4"/>
    </row>
    <row r="2593" spans="1:1" ht="13" x14ac:dyDescent="0.15">
      <c r="A2593" s="4"/>
    </row>
    <row r="2594" spans="1:1" ht="13" x14ac:dyDescent="0.15">
      <c r="A2594" s="4"/>
    </row>
    <row r="2595" spans="1:1" ht="13" x14ac:dyDescent="0.15">
      <c r="A2595" s="4"/>
    </row>
    <row r="2596" spans="1:1" ht="13" x14ac:dyDescent="0.15">
      <c r="A2596" s="4"/>
    </row>
    <row r="2597" spans="1:1" ht="13" x14ac:dyDescent="0.15">
      <c r="A2597" s="4"/>
    </row>
    <row r="2598" spans="1:1" ht="13" x14ac:dyDescent="0.15">
      <c r="A2598" s="4"/>
    </row>
    <row r="2599" spans="1:1" ht="13" x14ac:dyDescent="0.15">
      <c r="A2599" s="4"/>
    </row>
    <row r="2600" spans="1:1" ht="13" x14ac:dyDescent="0.15">
      <c r="A2600" s="4"/>
    </row>
    <row r="2601" spans="1:1" ht="13" x14ac:dyDescent="0.15">
      <c r="A2601" s="4"/>
    </row>
    <row r="2602" spans="1:1" ht="13" x14ac:dyDescent="0.15">
      <c r="A2602" s="4"/>
    </row>
    <row r="2603" spans="1:1" ht="13" x14ac:dyDescent="0.15">
      <c r="A2603" s="4"/>
    </row>
    <row r="2604" spans="1:1" ht="13" x14ac:dyDescent="0.15">
      <c r="A2604" s="4"/>
    </row>
    <row r="2605" spans="1:1" ht="13" x14ac:dyDescent="0.15">
      <c r="A2605" s="4"/>
    </row>
    <row r="2606" spans="1:1" ht="13" x14ac:dyDescent="0.15">
      <c r="A2606" s="4"/>
    </row>
    <row r="2607" spans="1:1" ht="13" x14ac:dyDescent="0.15">
      <c r="A2607" s="4"/>
    </row>
    <row r="2608" spans="1:1" ht="13" x14ac:dyDescent="0.15">
      <c r="A2608" s="4"/>
    </row>
    <row r="2609" spans="1:1" ht="13" x14ac:dyDescent="0.15">
      <c r="A2609" s="4"/>
    </row>
    <row r="2610" spans="1:1" ht="13" x14ac:dyDescent="0.15">
      <c r="A2610" s="4"/>
    </row>
    <row r="2611" spans="1:1" ht="13" x14ac:dyDescent="0.15">
      <c r="A2611" s="4"/>
    </row>
    <row r="2612" spans="1:1" ht="13" x14ac:dyDescent="0.15">
      <c r="A2612" s="4"/>
    </row>
    <row r="2613" spans="1:1" ht="13" x14ac:dyDescent="0.15">
      <c r="A2613" s="4"/>
    </row>
    <row r="2614" spans="1:1" ht="13" x14ac:dyDescent="0.15">
      <c r="A2614" s="4"/>
    </row>
    <row r="2615" spans="1:1" ht="13" x14ac:dyDescent="0.15">
      <c r="A2615" s="4"/>
    </row>
    <row r="2616" spans="1:1" ht="13" x14ac:dyDescent="0.15">
      <c r="A2616" s="4"/>
    </row>
    <row r="2617" spans="1:1" ht="13" x14ac:dyDescent="0.15">
      <c r="A2617" s="4"/>
    </row>
    <row r="2618" spans="1:1" ht="13" x14ac:dyDescent="0.15">
      <c r="A2618" s="4"/>
    </row>
    <row r="2619" spans="1:1" ht="13" x14ac:dyDescent="0.15">
      <c r="A2619" s="4"/>
    </row>
    <row r="2620" spans="1:1" ht="13" x14ac:dyDescent="0.15">
      <c r="A2620" s="4"/>
    </row>
    <row r="2621" spans="1:1" ht="13" x14ac:dyDescent="0.15">
      <c r="A2621" s="4"/>
    </row>
    <row r="2622" spans="1:1" ht="13" x14ac:dyDescent="0.15">
      <c r="A2622" s="4"/>
    </row>
    <row r="2623" spans="1:1" ht="13" x14ac:dyDescent="0.15">
      <c r="A2623" s="4"/>
    </row>
    <row r="2624" spans="1:1" ht="13" x14ac:dyDescent="0.15">
      <c r="A2624" s="4"/>
    </row>
    <row r="2625" spans="1:1" ht="13" x14ac:dyDescent="0.15">
      <c r="A2625" s="4"/>
    </row>
    <row r="2626" spans="1:1" ht="13" x14ac:dyDescent="0.15">
      <c r="A2626" s="4"/>
    </row>
    <row r="2627" spans="1:1" ht="13" x14ac:dyDescent="0.15">
      <c r="A2627" s="4"/>
    </row>
    <row r="2628" spans="1:1" ht="13" x14ac:dyDescent="0.15">
      <c r="A2628" s="4"/>
    </row>
    <row r="2629" spans="1:1" ht="13" x14ac:dyDescent="0.15">
      <c r="A2629" s="4"/>
    </row>
    <row r="2630" spans="1:1" ht="13" x14ac:dyDescent="0.15">
      <c r="A2630" s="4"/>
    </row>
    <row r="2631" spans="1:1" ht="13" x14ac:dyDescent="0.15">
      <c r="A2631" s="4"/>
    </row>
    <row r="2632" spans="1:1" ht="13" x14ac:dyDescent="0.15">
      <c r="A2632" s="4"/>
    </row>
    <row r="2633" spans="1:1" ht="13" x14ac:dyDescent="0.15">
      <c r="A2633" s="4"/>
    </row>
    <row r="2634" spans="1:1" ht="13" x14ac:dyDescent="0.15">
      <c r="A2634" s="4"/>
    </row>
    <row r="2635" spans="1:1" ht="13" x14ac:dyDescent="0.15">
      <c r="A2635" s="4"/>
    </row>
    <row r="2636" spans="1:1" ht="13" x14ac:dyDescent="0.15">
      <c r="A2636" s="4"/>
    </row>
    <row r="2637" spans="1:1" ht="13" x14ac:dyDescent="0.15">
      <c r="A2637" s="4"/>
    </row>
    <row r="2638" spans="1:1" ht="13" x14ac:dyDescent="0.15">
      <c r="A2638" s="4"/>
    </row>
    <row r="2639" spans="1:1" ht="13" x14ac:dyDescent="0.15">
      <c r="A2639" s="4"/>
    </row>
    <row r="2640" spans="1:1" ht="13" x14ac:dyDescent="0.15">
      <c r="A2640" s="4"/>
    </row>
    <row r="2641" spans="1:1" ht="13" x14ac:dyDescent="0.15">
      <c r="A2641" s="4"/>
    </row>
    <row r="2642" spans="1:1" ht="13" x14ac:dyDescent="0.15">
      <c r="A2642" s="4"/>
    </row>
    <row r="2643" spans="1:1" ht="13" x14ac:dyDescent="0.15">
      <c r="A2643" s="4"/>
    </row>
    <row r="2644" spans="1:1" ht="13" x14ac:dyDescent="0.15">
      <c r="A2644" s="4"/>
    </row>
    <row r="2645" spans="1:1" ht="13" x14ac:dyDescent="0.15">
      <c r="A2645" s="4"/>
    </row>
    <row r="2646" spans="1:1" ht="13" x14ac:dyDescent="0.15">
      <c r="A2646" s="4"/>
    </row>
    <row r="2647" spans="1:1" ht="13" x14ac:dyDescent="0.15">
      <c r="A2647" s="4"/>
    </row>
    <row r="2648" spans="1:1" ht="13" x14ac:dyDescent="0.15">
      <c r="A2648" s="4"/>
    </row>
    <row r="2649" spans="1:1" ht="13" x14ac:dyDescent="0.15">
      <c r="A2649" s="4"/>
    </row>
    <row r="2650" spans="1:1" ht="13" x14ac:dyDescent="0.15">
      <c r="A2650" s="4"/>
    </row>
    <row r="2651" spans="1:1" ht="13" x14ac:dyDescent="0.15">
      <c r="A2651" s="4"/>
    </row>
    <row r="2652" spans="1:1" ht="13" x14ac:dyDescent="0.15">
      <c r="A2652" s="4"/>
    </row>
    <row r="2653" spans="1:1" ht="13" x14ac:dyDescent="0.15">
      <c r="A2653" s="4"/>
    </row>
    <row r="2654" spans="1:1" ht="13" x14ac:dyDescent="0.15">
      <c r="A2654" s="4"/>
    </row>
    <row r="2655" spans="1:1" ht="13" x14ac:dyDescent="0.15">
      <c r="A2655" s="4"/>
    </row>
    <row r="2656" spans="1:1" ht="13" x14ac:dyDescent="0.15">
      <c r="A2656" s="4"/>
    </row>
    <row r="2657" spans="1:1" ht="13" x14ac:dyDescent="0.15">
      <c r="A2657" s="4"/>
    </row>
    <row r="2658" spans="1:1" ht="13" x14ac:dyDescent="0.15">
      <c r="A2658" s="4"/>
    </row>
    <row r="2659" spans="1:1" ht="13" x14ac:dyDescent="0.15">
      <c r="A2659" s="4"/>
    </row>
    <row r="2660" spans="1:1" ht="13" x14ac:dyDescent="0.15">
      <c r="A2660" s="4"/>
    </row>
    <row r="2661" spans="1:1" ht="13" x14ac:dyDescent="0.15">
      <c r="A2661" s="4"/>
    </row>
    <row r="2662" spans="1:1" ht="13" x14ac:dyDescent="0.15">
      <c r="A2662" s="4"/>
    </row>
    <row r="2663" spans="1:1" ht="13" x14ac:dyDescent="0.15">
      <c r="A2663" s="4"/>
    </row>
    <row r="2664" spans="1:1" ht="13" x14ac:dyDescent="0.15">
      <c r="A2664" s="4"/>
    </row>
    <row r="2665" spans="1:1" ht="13" x14ac:dyDescent="0.15">
      <c r="A2665" s="4"/>
    </row>
    <row r="2666" spans="1:1" ht="13" x14ac:dyDescent="0.15">
      <c r="A2666" s="4"/>
    </row>
    <row r="2667" spans="1:1" ht="13" x14ac:dyDescent="0.15">
      <c r="A2667" s="4"/>
    </row>
    <row r="2668" spans="1:1" ht="13" x14ac:dyDescent="0.15">
      <c r="A2668" s="4"/>
    </row>
    <row r="2669" spans="1:1" ht="13" x14ac:dyDescent="0.15">
      <c r="A2669" s="4"/>
    </row>
    <row r="2670" spans="1:1" ht="13" x14ac:dyDescent="0.15">
      <c r="A2670" s="4"/>
    </row>
    <row r="2671" spans="1:1" ht="13" x14ac:dyDescent="0.15">
      <c r="A2671" s="4"/>
    </row>
    <row r="2672" spans="1:1" ht="13" x14ac:dyDescent="0.15">
      <c r="A2672" s="4"/>
    </row>
    <row r="2673" spans="1:1" ht="13" x14ac:dyDescent="0.15">
      <c r="A2673" s="4"/>
    </row>
    <row r="2674" spans="1:1" ht="13" x14ac:dyDescent="0.15">
      <c r="A2674" s="4"/>
    </row>
    <row r="2675" spans="1:1" ht="13" x14ac:dyDescent="0.15">
      <c r="A2675" s="4"/>
    </row>
    <row r="2676" spans="1:1" ht="13" x14ac:dyDescent="0.15">
      <c r="A2676" s="4"/>
    </row>
    <row r="2677" spans="1:1" ht="13" x14ac:dyDescent="0.15">
      <c r="A2677" s="4"/>
    </row>
    <row r="2678" spans="1:1" ht="13" x14ac:dyDescent="0.15">
      <c r="A2678" s="4"/>
    </row>
    <row r="2679" spans="1:1" ht="13" x14ac:dyDescent="0.15">
      <c r="A2679" s="4"/>
    </row>
    <row r="2680" spans="1:1" ht="13" x14ac:dyDescent="0.15">
      <c r="A2680" s="4"/>
    </row>
    <row r="2681" spans="1:1" ht="13" x14ac:dyDescent="0.15">
      <c r="A2681" s="4"/>
    </row>
    <row r="2682" spans="1:1" ht="13" x14ac:dyDescent="0.15">
      <c r="A2682" s="4"/>
    </row>
    <row r="2683" spans="1:1" ht="13" x14ac:dyDescent="0.15">
      <c r="A2683" s="4"/>
    </row>
    <row r="2684" spans="1:1" ht="13" x14ac:dyDescent="0.15">
      <c r="A2684" s="4"/>
    </row>
    <row r="2685" spans="1:1" ht="13" x14ac:dyDescent="0.15">
      <c r="A2685" s="4"/>
    </row>
    <row r="2686" spans="1:1" ht="13" x14ac:dyDescent="0.15">
      <c r="A2686" s="4"/>
    </row>
    <row r="2687" spans="1:1" ht="13" x14ac:dyDescent="0.15">
      <c r="A2687" s="4"/>
    </row>
    <row r="2688" spans="1:1" ht="13" x14ac:dyDescent="0.15">
      <c r="A2688" s="4"/>
    </row>
    <row r="2689" spans="1:1" ht="13" x14ac:dyDescent="0.15">
      <c r="A2689" s="4"/>
    </row>
    <row r="2690" spans="1:1" ht="13" x14ac:dyDescent="0.15">
      <c r="A2690" s="4"/>
    </row>
    <row r="2691" spans="1:1" ht="13" x14ac:dyDescent="0.15">
      <c r="A2691" s="4"/>
    </row>
    <row r="2692" spans="1:1" ht="13" x14ac:dyDescent="0.15">
      <c r="A2692" s="4"/>
    </row>
    <row r="2693" spans="1:1" ht="13" x14ac:dyDescent="0.15">
      <c r="A2693" s="4"/>
    </row>
    <row r="2694" spans="1:1" ht="13" x14ac:dyDescent="0.15">
      <c r="A2694" s="4"/>
    </row>
    <row r="2695" spans="1:1" ht="13" x14ac:dyDescent="0.15">
      <c r="A2695" s="4"/>
    </row>
    <row r="2696" spans="1:1" ht="13" x14ac:dyDescent="0.15">
      <c r="A2696" s="4"/>
    </row>
    <row r="2697" spans="1:1" ht="13" x14ac:dyDescent="0.15">
      <c r="A2697" s="4"/>
    </row>
    <row r="2698" spans="1:1" ht="13" x14ac:dyDescent="0.15">
      <c r="A2698" s="4"/>
    </row>
    <row r="2699" spans="1:1" ht="13" x14ac:dyDescent="0.15">
      <c r="A2699" s="4"/>
    </row>
    <row r="2700" spans="1:1" ht="13" x14ac:dyDescent="0.15">
      <c r="A2700" s="4"/>
    </row>
    <row r="2701" spans="1:1" ht="13" x14ac:dyDescent="0.15">
      <c r="A2701" s="4"/>
    </row>
    <row r="2702" spans="1:1" ht="13" x14ac:dyDescent="0.15">
      <c r="A2702" s="4"/>
    </row>
    <row r="2703" spans="1:1" ht="13" x14ac:dyDescent="0.15">
      <c r="A2703" s="4"/>
    </row>
    <row r="2704" spans="1:1" ht="13" x14ac:dyDescent="0.15">
      <c r="A2704" s="4"/>
    </row>
    <row r="2705" spans="1:1" ht="13" x14ac:dyDescent="0.15">
      <c r="A2705" s="4"/>
    </row>
    <row r="2706" spans="1:1" ht="13" x14ac:dyDescent="0.15">
      <c r="A2706" s="4"/>
    </row>
    <row r="2707" spans="1:1" ht="13" x14ac:dyDescent="0.15">
      <c r="A2707" s="4"/>
    </row>
    <row r="2708" spans="1:1" ht="13" x14ac:dyDescent="0.15">
      <c r="A2708" s="4"/>
    </row>
    <row r="2709" spans="1:1" ht="13" x14ac:dyDescent="0.15">
      <c r="A2709" s="4"/>
    </row>
    <row r="2710" spans="1:1" ht="13" x14ac:dyDescent="0.15">
      <c r="A2710" s="4"/>
    </row>
    <row r="2711" spans="1:1" ht="13" x14ac:dyDescent="0.15">
      <c r="A2711" s="4"/>
    </row>
    <row r="2712" spans="1:1" ht="13" x14ac:dyDescent="0.15">
      <c r="A2712" s="4"/>
    </row>
    <row r="2713" spans="1:1" ht="13" x14ac:dyDescent="0.15">
      <c r="A2713" s="4"/>
    </row>
    <row r="2714" spans="1:1" ht="13" x14ac:dyDescent="0.15">
      <c r="A2714" s="4"/>
    </row>
    <row r="2715" spans="1:1" ht="13" x14ac:dyDescent="0.15">
      <c r="A2715" s="4"/>
    </row>
    <row r="2716" spans="1:1" ht="13" x14ac:dyDescent="0.15">
      <c r="A2716" s="4"/>
    </row>
    <row r="2717" spans="1:1" ht="13" x14ac:dyDescent="0.15">
      <c r="A2717" s="4"/>
    </row>
    <row r="2718" spans="1:1" ht="13" x14ac:dyDescent="0.15">
      <c r="A2718" s="4"/>
    </row>
    <row r="2719" spans="1:1" ht="13" x14ac:dyDescent="0.15">
      <c r="A2719" s="4"/>
    </row>
    <row r="2720" spans="1:1" ht="13" x14ac:dyDescent="0.15">
      <c r="A2720" s="4"/>
    </row>
    <row r="2721" spans="1:1" ht="13" x14ac:dyDescent="0.15">
      <c r="A2721" s="4"/>
    </row>
    <row r="2722" spans="1:1" ht="13" x14ac:dyDescent="0.15">
      <c r="A2722" s="4"/>
    </row>
    <row r="2723" spans="1:1" ht="13" x14ac:dyDescent="0.15">
      <c r="A2723" s="4"/>
    </row>
    <row r="2724" spans="1:1" ht="13" x14ac:dyDescent="0.15">
      <c r="A2724" s="4"/>
    </row>
    <row r="2725" spans="1:1" ht="13" x14ac:dyDescent="0.15">
      <c r="A2725" s="4"/>
    </row>
    <row r="2726" spans="1:1" ht="13" x14ac:dyDescent="0.15">
      <c r="A2726" s="4"/>
    </row>
    <row r="2727" spans="1:1" ht="13" x14ac:dyDescent="0.15">
      <c r="A2727" s="4"/>
    </row>
    <row r="2728" spans="1:1" ht="13" x14ac:dyDescent="0.15">
      <c r="A2728" s="4"/>
    </row>
    <row r="2729" spans="1:1" ht="13" x14ac:dyDescent="0.15">
      <c r="A2729" s="4"/>
    </row>
    <row r="2730" spans="1:1" ht="13" x14ac:dyDescent="0.15">
      <c r="A2730" s="4"/>
    </row>
    <row r="2731" spans="1:1" ht="13" x14ac:dyDescent="0.15">
      <c r="A2731" s="4"/>
    </row>
    <row r="2732" spans="1:1" ht="13" x14ac:dyDescent="0.15">
      <c r="A2732" s="4"/>
    </row>
    <row r="2733" spans="1:1" ht="13" x14ac:dyDescent="0.15">
      <c r="A2733" s="4"/>
    </row>
    <row r="2734" spans="1:1" ht="13" x14ac:dyDescent="0.15">
      <c r="A2734" s="4"/>
    </row>
    <row r="2735" spans="1:1" ht="13" x14ac:dyDescent="0.15">
      <c r="A2735" s="4"/>
    </row>
    <row r="2736" spans="1:1" ht="13" x14ac:dyDescent="0.15">
      <c r="A2736" s="4"/>
    </row>
    <row r="2737" spans="1:1" ht="13" x14ac:dyDescent="0.15">
      <c r="A2737" s="4"/>
    </row>
    <row r="2738" spans="1:1" ht="13" x14ac:dyDescent="0.15">
      <c r="A2738" s="4"/>
    </row>
    <row r="2739" spans="1:1" ht="13" x14ac:dyDescent="0.15">
      <c r="A2739" s="4"/>
    </row>
    <row r="2740" spans="1:1" ht="13" x14ac:dyDescent="0.15">
      <c r="A2740" s="4"/>
    </row>
    <row r="2741" spans="1:1" ht="13" x14ac:dyDescent="0.15">
      <c r="A2741" s="4"/>
    </row>
    <row r="2742" spans="1:1" ht="13" x14ac:dyDescent="0.15">
      <c r="A2742" s="4"/>
    </row>
    <row r="2743" spans="1:1" ht="13" x14ac:dyDescent="0.15">
      <c r="A2743" s="4"/>
    </row>
    <row r="2744" spans="1:1" ht="13" x14ac:dyDescent="0.15">
      <c r="A2744" s="4"/>
    </row>
    <row r="2745" spans="1:1" ht="13" x14ac:dyDescent="0.15">
      <c r="A2745" s="4"/>
    </row>
    <row r="2746" spans="1:1" ht="13" x14ac:dyDescent="0.15">
      <c r="A2746" s="4"/>
    </row>
    <row r="2747" spans="1:1" ht="13" x14ac:dyDescent="0.15">
      <c r="A2747" s="4"/>
    </row>
    <row r="2748" spans="1:1" ht="13" x14ac:dyDescent="0.15">
      <c r="A2748" s="4"/>
    </row>
    <row r="2749" spans="1:1" ht="13" x14ac:dyDescent="0.15">
      <c r="A2749" s="4"/>
    </row>
    <row r="2750" spans="1:1" ht="13" x14ac:dyDescent="0.15">
      <c r="A2750" s="4"/>
    </row>
    <row r="2751" spans="1:1" ht="13" x14ac:dyDescent="0.15">
      <c r="A2751" s="4"/>
    </row>
    <row r="2752" spans="1:1" ht="13" x14ac:dyDescent="0.15">
      <c r="A2752" s="4"/>
    </row>
    <row r="2753" spans="1:1" ht="13" x14ac:dyDescent="0.15">
      <c r="A2753" s="4"/>
    </row>
    <row r="2754" spans="1:1" ht="13" x14ac:dyDescent="0.15">
      <c r="A2754" s="4"/>
    </row>
    <row r="2755" spans="1:1" ht="13" x14ac:dyDescent="0.15">
      <c r="A2755" s="4"/>
    </row>
    <row r="2756" spans="1:1" ht="13" x14ac:dyDescent="0.15">
      <c r="A2756" s="4"/>
    </row>
    <row r="2757" spans="1:1" ht="13" x14ac:dyDescent="0.15">
      <c r="A2757" s="4"/>
    </row>
    <row r="2758" spans="1:1" ht="13" x14ac:dyDescent="0.15">
      <c r="A2758" s="4"/>
    </row>
    <row r="2759" spans="1:1" ht="13" x14ac:dyDescent="0.15">
      <c r="A2759" s="4"/>
    </row>
    <row r="2760" spans="1:1" ht="13" x14ac:dyDescent="0.15">
      <c r="A2760" s="4"/>
    </row>
    <row r="2761" spans="1:1" ht="13" x14ac:dyDescent="0.15">
      <c r="A2761" s="4"/>
    </row>
    <row r="2762" spans="1:1" ht="13" x14ac:dyDescent="0.15">
      <c r="A2762" s="4"/>
    </row>
    <row r="2763" spans="1:1" ht="13" x14ac:dyDescent="0.15">
      <c r="A2763" s="4"/>
    </row>
    <row r="2764" spans="1:1" ht="13" x14ac:dyDescent="0.15">
      <c r="A2764" s="4"/>
    </row>
    <row r="2765" spans="1:1" ht="13" x14ac:dyDescent="0.15">
      <c r="A2765" s="4"/>
    </row>
    <row r="2766" spans="1:1" ht="13" x14ac:dyDescent="0.15">
      <c r="A2766" s="4"/>
    </row>
    <row r="2767" spans="1:1" ht="13" x14ac:dyDescent="0.15">
      <c r="A2767" s="4"/>
    </row>
    <row r="2768" spans="1:1" ht="13" x14ac:dyDescent="0.15">
      <c r="A2768" s="4"/>
    </row>
    <row r="2769" spans="1:1" ht="13" x14ac:dyDescent="0.15">
      <c r="A2769" s="4"/>
    </row>
    <row r="2770" spans="1:1" ht="13" x14ac:dyDescent="0.15">
      <c r="A2770" s="4"/>
    </row>
    <row r="2771" spans="1:1" ht="13" x14ac:dyDescent="0.15">
      <c r="A2771" s="4"/>
    </row>
    <row r="2772" spans="1:1" ht="13" x14ac:dyDescent="0.15">
      <c r="A2772" s="4"/>
    </row>
    <row r="2773" spans="1:1" ht="13" x14ac:dyDescent="0.15">
      <c r="A2773" s="4"/>
    </row>
    <row r="2774" spans="1:1" ht="13" x14ac:dyDescent="0.15">
      <c r="A2774" s="4"/>
    </row>
    <row r="2775" spans="1:1" ht="13" x14ac:dyDescent="0.15">
      <c r="A2775" s="4"/>
    </row>
    <row r="2776" spans="1:1" ht="13" x14ac:dyDescent="0.15">
      <c r="A2776" s="4"/>
    </row>
    <row r="2777" spans="1:1" ht="13" x14ac:dyDescent="0.15">
      <c r="A2777" s="4"/>
    </row>
    <row r="2778" spans="1:1" ht="13" x14ac:dyDescent="0.15">
      <c r="A2778" s="4"/>
    </row>
    <row r="2779" spans="1:1" ht="13" x14ac:dyDescent="0.15">
      <c r="A2779" s="4"/>
    </row>
    <row r="2780" spans="1:1" ht="13" x14ac:dyDescent="0.15">
      <c r="A2780" s="4"/>
    </row>
    <row r="2781" spans="1:1" ht="13" x14ac:dyDescent="0.15">
      <c r="A2781" s="4"/>
    </row>
    <row r="2782" spans="1:1" ht="13" x14ac:dyDescent="0.15">
      <c r="A2782" s="4"/>
    </row>
    <row r="2783" spans="1:1" ht="13" x14ac:dyDescent="0.15">
      <c r="A2783" s="4"/>
    </row>
    <row r="2784" spans="1:1" ht="13" x14ac:dyDescent="0.15">
      <c r="A2784" s="4"/>
    </row>
    <row r="2785" spans="1:1" ht="13" x14ac:dyDescent="0.15">
      <c r="A2785" s="4"/>
    </row>
    <row r="2786" spans="1:1" ht="13" x14ac:dyDescent="0.15">
      <c r="A2786" s="4"/>
    </row>
    <row r="2787" spans="1:1" ht="13" x14ac:dyDescent="0.15">
      <c r="A2787" s="4"/>
    </row>
    <row r="2788" spans="1:1" ht="13" x14ac:dyDescent="0.15">
      <c r="A2788" s="4"/>
    </row>
    <row r="2789" spans="1:1" ht="13" x14ac:dyDescent="0.15">
      <c r="A2789" s="4"/>
    </row>
    <row r="2790" spans="1:1" ht="13" x14ac:dyDescent="0.15">
      <c r="A2790" s="4"/>
    </row>
    <row r="2791" spans="1:1" ht="13" x14ac:dyDescent="0.15">
      <c r="A2791" s="4"/>
    </row>
    <row r="2792" spans="1:1" ht="13" x14ac:dyDescent="0.15">
      <c r="A2792" s="4"/>
    </row>
    <row r="2793" spans="1:1" ht="13" x14ac:dyDescent="0.15">
      <c r="A2793" s="4"/>
    </row>
    <row r="2794" spans="1:1" ht="13" x14ac:dyDescent="0.15">
      <c r="A2794" s="4"/>
    </row>
    <row r="2795" spans="1:1" ht="13" x14ac:dyDescent="0.15">
      <c r="A2795" s="4"/>
    </row>
    <row r="2796" spans="1:1" ht="13" x14ac:dyDescent="0.15">
      <c r="A2796" s="4"/>
    </row>
    <row r="2797" spans="1:1" ht="13" x14ac:dyDescent="0.15">
      <c r="A2797" s="4"/>
    </row>
    <row r="2798" spans="1:1" ht="13" x14ac:dyDescent="0.15">
      <c r="A2798" s="4"/>
    </row>
    <row r="2799" spans="1:1" ht="13" x14ac:dyDescent="0.15">
      <c r="A2799" s="4"/>
    </row>
    <row r="2800" spans="1:1" ht="13" x14ac:dyDescent="0.15">
      <c r="A2800" s="4"/>
    </row>
    <row r="2801" spans="1:1" ht="13" x14ac:dyDescent="0.15">
      <c r="A2801" s="4"/>
    </row>
    <row r="2802" spans="1:1" ht="13" x14ac:dyDescent="0.15">
      <c r="A2802" s="4"/>
    </row>
    <row r="2803" spans="1:1" ht="13" x14ac:dyDescent="0.15">
      <c r="A2803" s="4"/>
    </row>
    <row r="2804" spans="1:1" ht="13" x14ac:dyDescent="0.15">
      <c r="A2804" s="4"/>
    </row>
    <row r="2805" spans="1:1" ht="13" x14ac:dyDescent="0.15">
      <c r="A2805" s="4"/>
    </row>
    <row r="2806" spans="1:1" ht="13" x14ac:dyDescent="0.15">
      <c r="A2806" s="4"/>
    </row>
    <row r="2807" spans="1:1" ht="13" x14ac:dyDescent="0.15">
      <c r="A2807" s="4"/>
    </row>
    <row r="2808" spans="1:1" ht="13" x14ac:dyDescent="0.15">
      <c r="A2808" s="4"/>
    </row>
    <row r="2809" spans="1:1" ht="13" x14ac:dyDescent="0.15">
      <c r="A2809" s="4"/>
    </row>
    <row r="2810" spans="1:1" ht="13" x14ac:dyDescent="0.15">
      <c r="A2810" s="4"/>
    </row>
    <row r="2811" spans="1:1" ht="13" x14ac:dyDescent="0.15">
      <c r="A2811" s="4"/>
    </row>
    <row r="2812" spans="1:1" ht="13" x14ac:dyDescent="0.15">
      <c r="A2812" s="4"/>
    </row>
    <row r="2813" spans="1:1" ht="13" x14ac:dyDescent="0.15">
      <c r="A2813" s="4"/>
    </row>
    <row r="2814" spans="1:1" ht="13" x14ac:dyDescent="0.15">
      <c r="A2814" s="4"/>
    </row>
    <row r="2815" spans="1:1" ht="13" x14ac:dyDescent="0.15">
      <c r="A2815" s="4"/>
    </row>
    <row r="2816" spans="1:1" ht="13" x14ac:dyDescent="0.15">
      <c r="A2816" s="4"/>
    </row>
    <row r="2817" spans="1:1" ht="13" x14ac:dyDescent="0.15">
      <c r="A2817" s="4"/>
    </row>
    <row r="2818" spans="1:1" ht="13" x14ac:dyDescent="0.15">
      <c r="A2818" s="4"/>
    </row>
    <row r="2819" spans="1:1" ht="13" x14ac:dyDescent="0.15">
      <c r="A2819" s="4"/>
    </row>
    <row r="2820" spans="1:1" ht="13" x14ac:dyDescent="0.15">
      <c r="A2820" s="4"/>
    </row>
    <row r="2821" spans="1:1" ht="13" x14ac:dyDescent="0.15">
      <c r="A2821" s="4"/>
    </row>
    <row r="2822" spans="1:1" ht="13" x14ac:dyDescent="0.15">
      <c r="A2822" s="4"/>
    </row>
    <row r="2823" spans="1:1" ht="13" x14ac:dyDescent="0.15">
      <c r="A2823" s="4"/>
    </row>
    <row r="2824" spans="1:1" ht="13" x14ac:dyDescent="0.15">
      <c r="A2824" s="4"/>
    </row>
    <row r="2825" spans="1:1" ht="13" x14ac:dyDescent="0.15">
      <c r="A2825" s="4"/>
    </row>
    <row r="2826" spans="1:1" ht="13" x14ac:dyDescent="0.15">
      <c r="A2826" s="4"/>
    </row>
    <row r="2827" spans="1:1" ht="13" x14ac:dyDescent="0.15">
      <c r="A2827" s="4"/>
    </row>
    <row r="2828" spans="1:1" ht="13" x14ac:dyDescent="0.15">
      <c r="A2828" s="4"/>
    </row>
    <row r="2829" spans="1:1" ht="13" x14ac:dyDescent="0.15">
      <c r="A2829" s="4"/>
    </row>
    <row r="2830" spans="1:1" ht="13" x14ac:dyDescent="0.15">
      <c r="A2830" s="4"/>
    </row>
    <row r="2831" spans="1:1" ht="13" x14ac:dyDescent="0.15">
      <c r="A2831" s="4"/>
    </row>
    <row r="2832" spans="1:1" ht="13" x14ac:dyDescent="0.15">
      <c r="A2832" s="4"/>
    </row>
    <row r="2833" spans="1:1" ht="13" x14ac:dyDescent="0.15">
      <c r="A2833" s="4"/>
    </row>
    <row r="2834" spans="1:1" ht="13" x14ac:dyDescent="0.15">
      <c r="A2834" s="4"/>
    </row>
    <row r="2835" spans="1:1" ht="13" x14ac:dyDescent="0.15">
      <c r="A2835" s="4"/>
    </row>
    <row r="2836" spans="1:1" ht="13" x14ac:dyDescent="0.15">
      <c r="A2836" s="4"/>
    </row>
    <row r="2837" spans="1:1" ht="13" x14ac:dyDescent="0.15">
      <c r="A2837" s="4"/>
    </row>
    <row r="2838" spans="1:1" ht="13" x14ac:dyDescent="0.15">
      <c r="A2838" s="4"/>
    </row>
    <row r="2839" spans="1:1" ht="13" x14ac:dyDescent="0.15">
      <c r="A2839" s="4"/>
    </row>
    <row r="2840" spans="1:1" ht="13" x14ac:dyDescent="0.15">
      <c r="A2840" s="4"/>
    </row>
    <row r="2841" spans="1:1" ht="13" x14ac:dyDescent="0.15">
      <c r="A2841" s="4"/>
    </row>
    <row r="2842" spans="1:1" ht="13" x14ac:dyDescent="0.15">
      <c r="A2842" s="4"/>
    </row>
    <row r="2843" spans="1:1" ht="13" x14ac:dyDescent="0.15">
      <c r="A2843" s="4"/>
    </row>
    <row r="2844" spans="1:1" ht="13" x14ac:dyDescent="0.15">
      <c r="A2844" s="4"/>
    </row>
    <row r="2845" spans="1:1" ht="13" x14ac:dyDescent="0.15">
      <c r="A2845" s="4"/>
    </row>
    <row r="2846" spans="1:1" ht="13" x14ac:dyDescent="0.15">
      <c r="A2846" s="4"/>
    </row>
    <row r="2847" spans="1:1" ht="13" x14ac:dyDescent="0.15">
      <c r="A2847" s="4"/>
    </row>
    <row r="2848" spans="1:1" ht="13" x14ac:dyDescent="0.15">
      <c r="A2848" s="4"/>
    </row>
    <row r="2849" spans="1:1" ht="13" x14ac:dyDescent="0.15">
      <c r="A2849" s="4"/>
    </row>
    <row r="2850" spans="1:1" ht="13" x14ac:dyDescent="0.15">
      <c r="A2850" s="4"/>
    </row>
    <row r="2851" spans="1:1" ht="13" x14ac:dyDescent="0.15">
      <c r="A2851" s="4"/>
    </row>
    <row r="2852" spans="1:1" ht="13" x14ac:dyDescent="0.15">
      <c r="A2852" s="4"/>
    </row>
    <row r="2853" spans="1:1" ht="13" x14ac:dyDescent="0.15">
      <c r="A2853" s="4"/>
    </row>
    <row r="2854" spans="1:1" ht="13" x14ac:dyDescent="0.15">
      <c r="A2854" s="4"/>
    </row>
    <row r="2855" spans="1:1" ht="13" x14ac:dyDescent="0.15">
      <c r="A2855" s="4"/>
    </row>
    <row r="2856" spans="1:1" ht="13" x14ac:dyDescent="0.15">
      <c r="A2856" s="4"/>
    </row>
    <row r="2857" spans="1:1" ht="13" x14ac:dyDescent="0.15">
      <c r="A2857" s="4"/>
    </row>
    <row r="2858" spans="1:1" ht="13" x14ac:dyDescent="0.15">
      <c r="A2858" s="4"/>
    </row>
    <row r="2859" spans="1:1" ht="13" x14ac:dyDescent="0.15">
      <c r="A2859" s="4"/>
    </row>
    <row r="2860" spans="1:1" ht="13" x14ac:dyDescent="0.15">
      <c r="A2860" s="4"/>
    </row>
    <row r="2861" spans="1:1" ht="13" x14ac:dyDescent="0.15">
      <c r="A2861" s="4"/>
    </row>
    <row r="2862" spans="1:1" ht="13" x14ac:dyDescent="0.15">
      <c r="A2862" s="4"/>
    </row>
    <row r="2863" spans="1:1" ht="13" x14ac:dyDescent="0.15">
      <c r="A2863" s="4"/>
    </row>
    <row r="2864" spans="1:1" ht="13" x14ac:dyDescent="0.15">
      <c r="A2864" s="4"/>
    </row>
    <row r="2865" spans="1:1" ht="13" x14ac:dyDescent="0.15">
      <c r="A2865" s="4"/>
    </row>
    <row r="2866" spans="1:1" ht="13" x14ac:dyDescent="0.15">
      <c r="A2866" s="4"/>
    </row>
    <row r="2867" spans="1:1" ht="13" x14ac:dyDescent="0.15">
      <c r="A2867" s="4"/>
    </row>
    <row r="2868" spans="1:1" ht="13" x14ac:dyDescent="0.15">
      <c r="A2868" s="4"/>
    </row>
    <row r="2869" spans="1:1" ht="13" x14ac:dyDescent="0.15">
      <c r="A2869" s="4"/>
    </row>
    <row r="2870" spans="1:1" ht="13" x14ac:dyDescent="0.15">
      <c r="A2870" s="4"/>
    </row>
    <row r="2871" spans="1:1" ht="13" x14ac:dyDescent="0.15">
      <c r="A2871" s="4"/>
    </row>
    <row r="2872" spans="1:1" ht="13" x14ac:dyDescent="0.15">
      <c r="A2872" s="4"/>
    </row>
    <row r="2873" spans="1:1" ht="13" x14ac:dyDescent="0.15">
      <c r="A2873" s="4"/>
    </row>
    <row r="2874" spans="1:1" ht="13" x14ac:dyDescent="0.15">
      <c r="A2874" s="4"/>
    </row>
    <row r="2875" spans="1:1" ht="13" x14ac:dyDescent="0.15">
      <c r="A2875" s="4"/>
    </row>
    <row r="2876" spans="1:1" ht="13" x14ac:dyDescent="0.15">
      <c r="A2876" s="4"/>
    </row>
    <row r="2877" spans="1:1" ht="13" x14ac:dyDescent="0.15">
      <c r="A2877" s="4"/>
    </row>
    <row r="2878" spans="1:1" ht="13" x14ac:dyDescent="0.15">
      <c r="A2878" s="4"/>
    </row>
    <row r="2879" spans="1:1" ht="13" x14ac:dyDescent="0.15">
      <c r="A2879" s="4"/>
    </row>
    <row r="2880" spans="1:1" ht="13" x14ac:dyDescent="0.15">
      <c r="A2880" s="4"/>
    </row>
    <row r="2881" spans="1:1" ht="13" x14ac:dyDescent="0.15">
      <c r="A2881" s="4"/>
    </row>
    <row r="2882" spans="1:1" ht="13" x14ac:dyDescent="0.15">
      <c r="A2882" s="4"/>
    </row>
    <row r="2883" spans="1:1" ht="13" x14ac:dyDescent="0.15">
      <c r="A2883" s="4"/>
    </row>
    <row r="2884" spans="1:1" ht="13" x14ac:dyDescent="0.15">
      <c r="A2884" s="4"/>
    </row>
    <row r="2885" spans="1:1" ht="13" x14ac:dyDescent="0.15">
      <c r="A2885" s="4"/>
    </row>
    <row r="2886" spans="1:1" ht="13" x14ac:dyDescent="0.15">
      <c r="A2886" s="4"/>
    </row>
    <row r="2887" spans="1:1" ht="13" x14ac:dyDescent="0.15">
      <c r="A2887" s="4"/>
    </row>
    <row r="2888" spans="1:1" ht="13" x14ac:dyDescent="0.15">
      <c r="A2888" s="4"/>
    </row>
    <row r="2889" spans="1:1" ht="13" x14ac:dyDescent="0.15">
      <c r="A2889" s="4"/>
    </row>
    <row r="2890" spans="1:1" ht="13" x14ac:dyDescent="0.15">
      <c r="A2890" s="4"/>
    </row>
    <row r="2891" spans="1:1" ht="13" x14ac:dyDescent="0.15">
      <c r="A2891" s="4"/>
    </row>
    <row r="2892" spans="1:1" ht="13" x14ac:dyDescent="0.15">
      <c r="A2892" s="4"/>
    </row>
    <row r="2893" spans="1:1" ht="13" x14ac:dyDescent="0.15">
      <c r="A2893" s="4"/>
    </row>
    <row r="2894" spans="1:1" ht="13" x14ac:dyDescent="0.15">
      <c r="A2894" s="4"/>
    </row>
    <row r="2895" spans="1:1" ht="13" x14ac:dyDescent="0.15">
      <c r="A2895" s="4"/>
    </row>
    <row r="2896" spans="1:1" ht="13" x14ac:dyDescent="0.15">
      <c r="A2896" s="4"/>
    </row>
    <row r="2897" spans="1:1" ht="13" x14ac:dyDescent="0.15">
      <c r="A2897" s="4"/>
    </row>
    <row r="2898" spans="1:1" ht="13" x14ac:dyDescent="0.15">
      <c r="A2898" s="4"/>
    </row>
    <row r="2899" spans="1:1" ht="13" x14ac:dyDescent="0.15">
      <c r="A2899" s="4"/>
    </row>
    <row r="2900" spans="1:1" ht="13" x14ac:dyDescent="0.15">
      <c r="A2900" s="4"/>
    </row>
    <row r="2901" spans="1:1" ht="13" x14ac:dyDescent="0.15">
      <c r="A2901" s="4"/>
    </row>
    <row r="2902" spans="1:1" ht="13" x14ac:dyDescent="0.15">
      <c r="A2902" s="4"/>
    </row>
    <row r="2903" spans="1:1" ht="13" x14ac:dyDescent="0.15">
      <c r="A2903" s="4"/>
    </row>
    <row r="2904" spans="1:1" ht="13" x14ac:dyDescent="0.15">
      <c r="A2904" s="4"/>
    </row>
    <row r="2905" spans="1:1" ht="13" x14ac:dyDescent="0.15">
      <c r="A2905" s="4"/>
    </row>
    <row r="2906" spans="1:1" ht="13" x14ac:dyDescent="0.15">
      <c r="A2906" s="4"/>
    </row>
    <row r="2907" spans="1:1" ht="13" x14ac:dyDescent="0.15">
      <c r="A2907" s="4"/>
    </row>
    <row r="2908" spans="1:1" ht="13" x14ac:dyDescent="0.15">
      <c r="A2908" s="4"/>
    </row>
    <row r="2909" spans="1:1" ht="13" x14ac:dyDescent="0.15">
      <c r="A2909" s="4"/>
    </row>
    <row r="2910" spans="1:1" ht="13" x14ac:dyDescent="0.15">
      <c r="A2910" s="4"/>
    </row>
    <row r="2911" spans="1:1" ht="13" x14ac:dyDescent="0.15">
      <c r="A2911" s="4"/>
    </row>
    <row r="2912" spans="1:1" ht="13" x14ac:dyDescent="0.15">
      <c r="A2912" s="4"/>
    </row>
    <row r="2913" spans="1:1" ht="13" x14ac:dyDescent="0.15">
      <c r="A2913" s="4"/>
    </row>
    <row r="2914" spans="1:1" ht="13" x14ac:dyDescent="0.15">
      <c r="A2914" s="4"/>
    </row>
    <row r="2915" spans="1:1" ht="13" x14ac:dyDescent="0.15">
      <c r="A2915" s="4"/>
    </row>
    <row r="2916" spans="1:1" ht="13" x14ac:dyDescent="0.15">
      <c r="A2916" s="4"/>
    </row>
    <row r="2917" spans="1:1" ht="13" x14ac:dyDescent="0.15">
      <c r="A2917" s="4"/>
    </row>
    <row r="2918" spans="1:1" ht="13" x14ac:dyDescent="0.15">
      <c r="A2918" s="4"/>
    </row>
    <row r="2919" spans="1:1" ht="13" x14ac:dyDescent="0.15">
      <c r="A2919" s="4"/>
    </row>
    <row r="2920" spans="1:1" ht="13" x14ac:dyDescent="0.15">
      <c r="A2920" s="4"/>
    </row>
    <row r="2921" spans="1:1" ht="13" x14ac:dyDescent="0.15">
      <c r="A2921" s="4"/>
    </row>
    <row r="2922" spans="1:1" ht="13" x14ac:dyDescent="0.15">
      <c r="A2922" s="4"/>
    </row>
    <row r="2923" spans="1:1" ht="13" x14ac:dyDescent="0.15">
      <c r="A2923" s="4"/>
    </row>
    <row r="2924" spans="1:1" ht="13" x14ac:dyDescent="0.15">
      <c r="A2924" s="4"/>
    </row>
    <row r="2925" spans="1:1" ht="13" x14ac:dyDescent="0.15">
      <c r="A2925" s="4"/>
    </row>
    <row r="2926" spans="1:1" ht="13" x14ac:dyDescent="0.15">
      <c r="A2926" s="4"/>
    </row>
    <row r="2927" spans="1:1" ht="13" x14ac:dyDescent="0.15">
      <c r="A2927" s="4"/>
    </row>
    <row r="2928" spans="1:1" ht="13" x14ac:dyDescent="0.15">
      <c r="A2928" s="4"/>
    </row>
    <row r="2929" spans="1:1" ht="13" x14ac:dyDescent="0.15">
      <c r="A2929" s="4"/>
    </row>
    <row r="2930" spans="1:1" ht="13" x14ac:dyDescent="0.15">
      <c r="A2930" s="4"/>
    </row>
    <row r="2931" spans="1:1" ht="13" x14ac:dyDescent="0.15">
      <c r="A2931" s="4"/>
    </row>
    <row r="2932" spans="1:1" ht="13" x14ac:dyDescent="0.15">
      <c r="A2932" s="4"/>
    </row>
    <row r="2933" spans="1:1" ht="13" x14ac:dyDescent="0.15">
      <c r="A2933" s="4"/>
    </row>
    <row r="2934" spans="1:1" ht="13" x14ac:dyDescent="0.15">
      <c r="A2934" s="4"/>
    </row>
    <row r="2935" spans="1:1" ht="13" x14ac:dyDescent="0.15">
      <c r="A2935" s="4"/>
    </row>
    <row r="2936" spans="1:1" ht="13" x14ac:dyDescent="0.15">
      <c r="A2936" s="4"/>
    </row>
    <row r="2937" spans="1:1" ht="13" x14ac:dyDescent="0.15">
      <c r="A2937" s="4"/>
    </row>
    <row r="2938" spans="1:1" ht="13" x14ac:dyDescent="0.15">
      <c r="A2938" s="4"/>
    </row>
    <row r="2939" spans="1:1" ht="13" x14ac:dyDescent="0.15">
      <c r="A2939" s="4"/>
    </row>
    <row r="2940" spans="1:1" ht="13" x14ac:dyDescent="0.15">
      <c r="A2940" s="4"/>
    </row>
    <row r="2941" spans="1:1" ht="13" x14ac:dyDescent="0.15">
      <c r="A2941" s="4"/>
    </row>
    <row r="2942" spans="1:1" ht="13" x14ac:dyDescent="0.15">
      <c r="A2942" s="4"/>
    </row>
    <row r="2943" spans="1:1" ht="13" x14ac:dyDescent="0.15">
      <c r="A2943" s="4"/>
    </row>
    <row r="2944" spans="1:1" ht="13" x14ac:dyDescent="0.15">
      <c r="A2944" s="4"/>
    </row>
    <row r="2945" spans="1:1" ht="13" x14ac:dyDescent="0.15">
      <c r="A2945" s="4"/>
    </row>
    <row r="2946" spans="1:1" ht="13" x14ac:dyDescent="0.15">
      <c r="A2946" s="4"/>
    </row>
    <row r="2947" spans="1:1" ht="13" x14ac:dyDescent="0.15">
      <c r="A2947" s="4"/>
    </row>
    <row r="2948" spans="1:1" ht="13" x14ac:dyDescent="0.15">
      <c r="A2948" s="4"/>
    </row>
    <row r="2949" spans="1:1" ht="13" x14ac:dyDescent="0.15">
      <c r="A2949" s="4"/>
    </row>
    <row r="2950" spans="1:1" ht="13" x14ac:dyDescent="0.15">
      <c r="A2950" s="4"/>
    </row>
    <row r="2951" spans="1:1" ht="13" x14ac:dyDescent="0.15">
      <c r="A2951" s="4"/>
    </row>
    <row r="2952" spans="1:1" ht="13" x14ac:dyDescent="0.15">
      <c r="A2952" s="4"/>
    </row>
    <row r="2953" spans="1:1" ht="13" x14ac:dyDescent="0.15">
      <c r="A2953" s="4"/>
    </row>
    <row r="2954" spans="1:1" ht="13" x14ac:dyDescent="0.15">
      <c r="A2954" s="4"/>
    </row>
    <row r="2955" spans="1:1" ht="13" x14ac:dyDescent="0.15">
      <c r="A2955" s="4"/>
    </row>
    <row r="2956" spans="1:1" ht="13" x14ac:dyDescent="0.15">
      <c r="A2956" s="4"/>
    </row>
    <row r="2957" spans="1:1" ht="13" x14ac:dyDescent="0.15">
      <c r="A2957" s="4"/>
    </row>
    <row r="2958" spans="1:1" ht="13" x14ac:dyDescent="0.15">
      <c r="A2958" s="4"/>
    </row>
    <row r="2959" spans="1:1" ht="13" x14ac:dyDescent="0.15">
      <c r="A2959" s="4"/>
    </row>
    <row r="2960" spans="1:1" ht="13" x14ac:dyDescent="0.15">
      <c r="A2960" s="4"/>
    </row>
    <row r="2961" spans="1:1" ht="13" x14ac:dyDescent="0.15">
      <c r="A2961" s="4"/>
    </row>
    <row r="2962" spans="1:1" ht="13" x14ac:dyDescent="0.15">
      <c r="A2962" s="4"/>
    </row>
    <row r="2963" spans="1:1" ht="13" x14ac:dyDescent="0.15">
      <c r="A2963" s="4"/>
    </row>
    <row r="2964" spans="1:1" ht="13" x14ac:dyDescent="0.15">
      <c r="A2964" s="4"/>
    </row>
    <row r="2965" spans="1:1" ht="13" x14ac:dyDescent="0.15">
      <c r="A2965" s="4"/>
    </row>
    <row r="2966" spans="1:1" ht="13" x14ac:dyDescent="0.15">
      <c r="A2966" s="4"/>
    </row>
    <row r="2967" spans="1:1" ht="13" x14ac:dyDescent="0.15">
      <c r="A2967" s="4"/>
    </row>
    <row r="2968" spans="1:1" ht="13" x14ac:dyDescent="0.15">
      <c r="A2968" s="4"/>
    </row>
    <row r="2969" spans="1:1" ht="13" x14ac:dyDescent="0.15">
      <c r="A2969" s="4"/>
    </row>
    <row r="2970" spans="1:1" ht="13" x14ac:dyDescent="0.15">
      <c r="A2970" s="4"/>
    </row>
    <row r="2971" spans="1:1" ht="13" x14ac:dyDescent="0.15">
      <c r="A2971" s="4"/>
    </row>
    <row r="2972" spans="1:1" ht="13" x14ac:dyDescent="0.15">
      <c r="A2972" s="4"/>
    </row>
    <row r="2973" spans="1:1" ht="13" x14ac:dyDescent="0.15">
      <c r="A2973" s="4"/>
    </row>
    <row r="2974" spans="1:1" ht="13" x14ac:dyDescent="0.15">
      <c r="A2974" s="4"/>
    </row>
    <row r="2975" spans="1:1" ht="13" x14ac:dyDescent="0.15">
      <c r="A2975" s="4"/>
    </row>
    <row r="2976" spans="1:1" ht="13" x14ac:dyDescent="0.15">
      <c r="A2976" s="4"/>
    </row>
    <row r="2977" spans="1:1" ht="13" x14ac:dyDescent="0.15">
      <c r="A2977" s="4"/>
    </row>
    <row r="2978" spans="1:1" ht="13" x14ac:dyDescent="0.15">
      <c r="A2978" s="4"/>
    </row>
    <row r="2979" spans="1:1" ht="13" x14ac:dyDescent="0.15">
      <c r="A2979" s="4"/>
    </row>
    <row r="2980" spans="1:1" ht="13" x14ac:dyDescent="0.15">
      <c r="A2980" s="4"/>
    </row>
    <row r="2981" spans="1:1" ht="13" x14ac:dyDescent="0.15">
      <c r="A2981" s="4"/>
    </row>
    <row r="2982" spans="1:1" ht="13" x14ac:dyDescent="0.15">
      <c r="A2982" s="4"/>
    </row>
    <row r="2983" spans="1:1" ht="13" x14ac:dyDescent="0.15">
      <c r="A2983" s="4"/>
    </row>
    <row r="2984" spans="1:1" ht="13" x14ac:dyDescent="0.15">
      <c r="A2984" s="4"/>
    </row>
    <row r="2985" spans="1:1" ht="13" x14ac:dyDescent="0.15">
      <c r="A2985" s="4"/>
    </row>
    <row r="2986" spans="1:1" ht="13" x14ac:dyDescent="0.15">
      <c r="A2986" s="4"/>
    </row>
    <row r="2987" spans="1:1" ht="13" x14ac:dyDescent="0.15">
      <c r="A2987" s="4"/>
    </row>
    <row r="2988" spans="1:1" ht="13" x14ac:dyDescent="0.15">
      <c r="A2988" s="4"/>
    </row>
    <row r="2989" spans="1:1" ht="13" x14ac:dyDescent="0.15">
      <c r="A2989" s="4"/>
    </row>
    <row r="2990" spans="1:1" ht="13" x14ac:dyDescent="0.15">
      <c r="A2990" s="4"/>
    </row>
    <row r="2991" spans="1:1" ht="13" x14ac:dyDescent="0.15">
      <c r="A2991" s="4"/>
    </row>
    <row r="2992" spans="1:1" ht="13" x14ac:dyDescent="0.15">
      <c r="A2992" s="4"/>
    </row>
    <row r="2993" spans="1:1" ht="13" x14ac:dyDescent="0.15">
      <c r="A2993" s="4"/>
    </row>
    <row r="2994" spans="1:1" ht="13" x14ac:dyDescent="0.15">
      <c r="A2994" s="4"/>
    </row>
    <row r="2995" spans="1:1" ht="13" x14ac:dyDescent="0.15">
      <c r="A2995" s="4"/>
    </row>
    <row r="2996" spans="1:1" ht="13" x14ac:dyDescent="0.15">
      <c r="A2996" s="4"/>
    </row>
    <row r="2997" spans="1:1" ht="13" x14ac:dyDescent="0.15">
      <c r="A2997" s="4"/>
    </row>
    <row r="2998" spans="1:1" ht="13" x14ac:dyDescent="0.15">
      <c r="A2998" s="4"/>
    </row>
    <row r="2999" spans="1:1" ht="13" x14ac:dyDescent="0.15">
      <c r="A2999" s="4"/>
    </row>
    <row r="3000" spans="1:1" ht="13" x14ac:dyDescent="0.15">
      <c r="A3000" s="4"/>
    </row>
    <row r="3001" spans="1:1" ht="13" x14ac:dyDescent="0.15">
      <c r="A3001" s="4"/>
    </row>
    <row r="3002" spans="1:1" ht="13" x14ac:dyDescent="0.15">
      <c r="A3002" s="4"/>
    </row>
    <row r="3003" spans="1:1" ht="13" x14ac:dyDescent="0.15">
      <c r="A3003" s="4"/>
    </row>
    <row r="3004" spans="1:1" ht="13" x14ac:dyDescent="0.15">
      <c r="A3004" s="4"/>
    </row>
    <row r="3005" spans="1:1" ht="13" x14ac:dyDescent="0.15">
      <c r="A3005" s="4"/>
    </row>
    <row r="3006" spans="1:1" ht="13" x14ac:dyDescent="0.15">
      <c r="A3006" s="4"/>
    </row>
    <row r="3007" spans="1:1" ht="13" x14ac:dyDescent="0.15">
      <c r="A3007" s="4"/>
    </row>
    <row r="3008" spans="1:1" ht="13" x14ac:dyDescent="0.15">
      <c r="A3008" s="4"/>
    </row>
    <row r="3009" spans="1:1" ht="13" x14ac:dyDescent="0.15">
      <c r="A3009" s="4"/>
    </row>
    <row r="3010" spans="1:1" ht="13" x14ac:dyDescent="0.15">
      <c r="A3010" s="4"/>
    </row>
    <row r="3011" spans="1:1" ht="13" x14ac:dyDescent="0.15">
      <c r="A3011" s="4"/>
    </row>
    <row r="3012" spans="1:1" ht="13" x14ac:dyDescent="0.15">
      <c r="A3012" s="4"/>
    </row>
    <row r="3013" spans="1:1" ht="13" x14ac:dyDescent="0.15">
      <c r="A3013" s="4"/>
    </row>
    <row r="3014" spans="1:1" ht="13" x14ac:dyDescent="0.15">
      <c r="A3014" s="4"/>
    </row>
    <row r="3015" spans="1:1" ht="13" x14ac:dyDescent="0.15">
      <c r="A3015" s="4"/>
    </row>
    <row r="3016" spans="1:1" ht="13" x14ac:dyDescent="0.15">
      <c r="A3016" s="4"/>
    </row>
    <row r="3017" spans="1:1" ht="13" x14ac:dyDescent="0.15">
      <c r="A3017" s="4"/>
    </row>
    <row r="3018" spans="1:1" ht="13" x14ac:dyDescent="0.15">
      <c r="A3018" s="4"/>
    </row>
    <row r="3019" spans="1:1" ht="13" x14ac:dyDescent="0.15">
      <c r="A3019" s="4"/>
    </row>
    <row r="3020" spans="1:1" ht="13" x14ac:dyDescent="0.15">
      <c r="A3020" s="4"/>
    </row>
    <row r="3021" spans="1:1" ht="13" x14ac:dyDescent="0.15">
      <c r="A3021" s="4"/>
    </row>
    <row r="3022" spans="1:1" ht="13" x14ac:dyDescent="0.15">
      <c r="A3022" s="4"/>
    </row>
    <row r="3023" spans="1:1" ht="13" x14ac:dyDescent="0.15">
      <c r="A3023" s="4"/>
    </row>
    <row r="3024" spans="1:1" ht="13" x14ac:dyDescent="0.15">
      <c r="A3024" s="4"/>
    </row>
    <row r="3025" spans="1:1" ht="13" x14ac:dyDescent="0.15">
      <c r="A3025" s="4"/>
    </row>
    <row r="3026" spans="1:1" ht="13" x14ac:dyDescent="0.15">
      <c r="A3026" s="4"/>
    </row>
    <row r="3027" spans="1:1" ht="13" x14ac:dyDescent="0.15">
      <c r="A3027" s="4"/>
    </row>
    <row r="3028" spans="1:1" ht="13" x14ac:dyDescent="0.15">
      <c r="A3028" s="4"/>
    </row>
    <row r="3029" spans="1:1" ht="13" x14ac:dyDescent="0.15">
      <c r="A3029" s="4"/>
    </row>
    <row r="3030" spans="1:1" ht="13" x14ac:dyDescent="0.15">
      <c r="A3030" s="4"/>
    </row>
    <row r="3031" spans="1:1" ht="13" x14ac:dyDescent="0.15">
      <c r="A3031" s="4"/>
    </row>
    <row r="3032" spans="1:1" ht="13" x14ac:dyDescent="0.15">
      <c r="A3032" s="4"/>
    </row>
    <row r="3033" spans="1:1" ht="13" x14ac:dyDescent="0.15">
      <c r="A3033" s="4"/>
    </row>
    <row r="3034" spans="1:1" ht="13" x14ac:dyDescent="0.15">
      <c r="A3034" s="4"/>
    </row>
    <row r="3035" spans="1:1" ht="13" x14ac:dyDescent="0.15">
      <c r="A3035" s="4"/>
    </row>
    <row r="3036" spans="1:1" ht="13" x14ac:dyDescent="0.15">
      <c r="A3036" s="4"/>
    </row>
    <row r="3037" spans="1:1" ht="13" x14ac:dyDescent="0.15">
      <c r="A3037" s="4"/>
    </row>
    <row r="3038" spans="1:1" ht="13" x14ac:dyDescent="0.15">
      <c r="A3038" s="4"/>
    </row>
    <row r="3039" spans="1:1" ht="13" x14ac:dyDescent="0.15">
      <c r="A3039" s="4"/>
    </row>
    <row r="3040" spans="1:1" ht="13" x14ac:dyDescent="0.15">
      <c r="A3040" s="4"/>
    </row>
    <row r="3041" spans="1:1" ht="13" x14ac:dyDescent="0.15">
      <c r="A3041" s="4"/>
    </row>
    <row r="3042" spans="1:1" ht="13" x14ac:dyDescent="0.15">
      <c r="A3042" s="4"/>
    </row>
    <row r="3043" spans="1:1" ht="13" x14ac:dyDescent="0.15">
      <c r="A3043" s="4"/>
    </row>
    <row r="3044" spans="1:1" ht="13" x14ac:dyDescent="0.15">
      <c r="A3044" s="4"/>
    </row>
    <row r="3045" spans="1:1" ht="13" x14ac:dyDescent="0.15">
      <c r="A3045" s="4"/>
    </row>
    <row r="3046" spans="1:1" ht="13" x14ac:dyDescent="0.15">
      <c r="A3046" s="4"/>
    </row>
    <row r="3047" spans="1:1" ht="13" x14ac:dyDescent="0.15">
      <c r="A3047" s="4"/>
    </row>
    <row r="3048" spans="1:1" ht="13" x14ac:dyDescent="0.15">
      <c r="A3048" s="4"/>
    </row>
    <row r="3049" spans="1:1" ht="13" x14ac:dyDescent="0.15">
      <c r="A3049" s="4"/>
    </row>
    <row r="3050" spans="1:1" ht="13" x14ac:dyDescent="0.15">
      <c r="A3050" s="4"/>
    </row>
    <row r="3051" spans="1:1" ht="13" x14ac:dyDescent="0.15">
      <c r="A3051" s="4"/>
    </row>
    <row r="3052" spans="1:1" ht="13" x14ac:dyDescent="0.15">
      <c r="A3052" s="4"/>
    </row>
    <row r="3053" spans="1:1" ht="13" x14ac:dyDescent="0.15">
      <c r="A3053" s="4"/>
    </row>
    <row r="3054" spans="1:1" ht="13" x14ac:dyDescent="0.15">
      <c r="A3054" s="4"/>
    </row>
    <row r="3055" spans="1:1" ht="13" x14ac:dyDescent="0.15">
      <c r="A3055" s="4"/>
    </row>
    <row r="3056" spans="1:1" ht="13" x14ac:dyDescent="0.15">
      <c r="A3056" s="4"/>
    </row>
    <row r="3057" spans="1:1" ht="13" x14ac:dyDescent="0.15">
      <c r="A3057" s="4"/>
    </row>
    <row r="3058" spans="1:1" ht="13" x14ac:dyDescent="0.15">
      <c r="A3058" s="4"/>
    </row>
    <row r="3059" spans="1:1" ht="13" x14ac:dyDescent="0.15">
      <c r="A3059" s="4"/>
    </row>
    <row r="3060" spans="1:1" ht="13" x14ac:dyDescent="0.15">
      <c r="A3060" s="4"/>
    </row>
    <row r="3061" spans="1:1" ht="13" x14ac:dyDescent="0.15">
      <c r="A3061" s="4"/>
    </row>
    <row r="3062" spans="1:1" ht="13" x14ac:dyDescent="0.15">
      <c r="A3062" s="4"/>
    </row>
    <row r="3063" spans="1:1" ht="13" x14ac:dyDescent="0.15">
      <c r="A3063" s="4"/>
    </row>
    <row r="3064" spans="1:1" ht="13" x14ac:dyDescent="0.15">
      <c r="A3064" s="4"/>
    </row>
    <row r="3065" spans="1:1" ht="13" x14ac:dyDescent="0.15">
      <c r="A3065" s="4"/>
    </row>
    <row r="3066" spans="1:1" ht="13" x14ac:dyDescent="0.15">
      <c r="A3066" s="4"/>
    </row>
    <row r="3067" spans="1:1" ht="13" x14ac:dyDescent="0.15">
      <c r="A3067" s="4"/>
    </row>
    <row r="3068" spans="1:1" ht="13" x14ac:dyDescent="0.15">
      <c r="A3068" s="4"/>
    </row>
    <row r="3069" spans="1:1" ht="13" x14ac:dyDescent="0.15">
      <c r="A3069" s="4"/>
    </row>
    <row r="3070" spans="1:1" ht="13" x14ac:dyDescent="0.15">
      <c r="A3070" s="4"/>
    </row>
    <row r="3071" spans="1:1" ht="13" x14ac:dyDescent="0.15">
      <c r="A3071" s="4"/>
    </row>
    <row r="3072" spans="1:1" ht="13" x14ac:dyDescent="0.15">
      <c r="A3072" s="4"/>
    </row>
    <row r="3073" spans="1:1" ht="13" x14ac:dyDescent="0.15">
      <c r="A3073" s="4"/>
    </row>
    <row r="3074" spans="1:1" ht="13" x14ac:dyDescent="0.15">
      <c r="A3074" s="4"/>
    </row>
    <row r="3075" spans="1:1" ht="13" x14ac:dyDescent="0.15">
      <c r="A3075" s="4"/>
    </row>
    <row r="3076" spans="1:1" ht="13" x14ac:dyDescent="0.15">
      <c r="A3076" s="4"/>
    </row>
    <row r="3077" spans="1:1" ht="13" x14ac:dyDescent="0.15">
      <c r="A3077" s="4"/>
    </row>
    <row r="3078" spans="1:1" ht="13" x14ac:dyDescent="0.15">
      <c r="A3078" s="4"/>
    </row>
    <row r="3079" spans="1:1" ht="13" x14ac:dyDescent="0.15">
      <c r="A3079" s="4"/>
    </row>
    <row r="3080" spans="1:1" ht="13" x14ac:dyDescent="0.15">
      <c r="A3080" s="4"/>
    </row>
    <row r="3081" spans="1:1" ht="13" x14ac:dyDescent="0.15">
      <c r="A3081" s="4"/>
    </row>
    <row r="3082" spans="1:1" ht="13" x14ac:dyDescent="0.15">
      <c r="A3082" s="4"/>
    </row>
    <row r="3083" spans="1:1" ht="13" x14ac:dyDescent="0.15">
      <c r="A3083" s="4"/>
    </row>
    <row r="3084" spans="1:1" ht="13" x14ac:dyDescent="0.15">
      <c r="A3084" s="4"/>
    </row>
    <row r="3085" spans="1:1" ht="13" x14ac:dyDescent="0.15">
      <c r="A3085" s="4"/>
    </row>
    <row r="3086" spans="1:1" ht="13" x14ac:dyDescent="0.15">
      <c r="A3086" s="4"/>
    </row>
    <row r="3087" spans="1:1" ht="13" x14ac:dyDescent="0.15">
      <c r="A3087" s="4"/>
    </row>
    <row r="3088" spans="1:1" ht="13" x14ac:dyDescent="0.15">
      <c r="A3088" s="4"/>
    </row>
    <row r="3089" spans="1:1" ht="13" x14ac:dyDescent="0.15">
      <c r="A3089" s="4"/>
    </row>
    <row r="3090" spans="1:1" ht="13" x14ac:dyDescent="0.15">
      <c r="A3090" s="4"/>
    </row>
    <row r="3091" spans="1:1" ht="13" x14ac:dyDescent="0.15">
      <c r="A3091" s="4"/>
    </row>
    <row r="3092" spans="1:1" ht="13" x14ac:dyDescent="0.15">
      <c r="A3092" s="4"/>
    </row>
    <row r="3093" spans="1:1" ht="13" x14ac:dyDescent="0.15">
      <c r="A3093" s="4"/>
    </row>
    <row r="3094" spans="1:1" ht="13" x14ac:dyDescent="0.15">
      <c r="A3094" s="4"/>
    </row>
    <row r="3095" spans="1:1" ht="13" x14ac:dyDescent="0.15">
      <c r="A3095" s="4"/>
    </row>
    <row r="3096" spans="1:1" ht="13" x14ac:dyDescent="0.15">
      <c r="A3096" s="4"/>
    </row>
    <row r="3097" spans="1:1" ht="13" x14ac:dyDescent="0.15">
      <c r="A3097" s="4"/>
    </row>
    <row r="3098" spans="1:1" ht="13" x14ac:dyDescent="0.15">
      <c r="A3098" s="4"/>
    </row>
    <row r="3099" spans="1:1" ht="13" x14ac:dyDescent="0.15">
      <c r="A3099" s="4"/>
    </row>
    <row r="3100" spans="1:1" ht="13" x14ac:dyDescent="0.15">
      <c r="A3100" s="4"/>
    </row>
    <row r="3101" spans="1:1" ht="13" x14ac:dyDescent="0.15">
      <c r="A3101" s="4"/>
    </row>
    <row r="3102" spans="1:1" ht="13" x14ac:dyDescent="0.15">
      <c r="A3102" s="4"/>
    </row>
    <row r="3103" spans="1:1" ht="13" x14ac:dyDescent="0.15">
      <c r="A3103" s="4"/>
    </row>
    <row r="3104" spans="1:1" ht="13" x14ac:dyDescent="0.15">
      <c r="A3104" s="4"/>
    </row>
    <row r="3105" spans="1:1" ht="13" x14ac:dyDescent="0.15">
      <c r="A3105" s="4"/>
    </row>
    <row r="3106" spans="1:1" ht="13" x14ac:dyDescent="0.15">
      <c r="A3106" s="4"/>
    </row>
    <row r="3107" spans="1:1" ht="13" x14ac:dyDescent="0.15">
      <c r="A3107" s="4"/>
    </row>
    <row r="3108" spans="1:1" ht="13" x14ac:dyDescent="0.15">
      <c r="A3108" s="4"/>
    </row>
    <row r="3109" spans="1:1" ht="13" x14ac:dyDescent="0.15">
      <c r="A3109" s="4"/>
    </row>
    <row r="3110" spans="1:1" ht="13" x14ac:dyDescent="0.15">
      <c r="A3110" s="4"/>
    </row>
    <row r="3111" spans="1:1" ht="13" x14ac:dyDescent="0.15">
      <c r="A3111" s="4"/>
    </row>
    <row r="3112" spans="1:1" ht="13" x14ac:dyDescent="0.15">
      <c r="A3112" s="4"/>
    </row>
    <row r="3113" spans="1:1" ht="13" x14ac:dyDescent="0.15">
      <c r="A3113" s="4"/>
    </row>
    <row r="3114" spans="1:1" ht="13" x14ac:dyDescent="0.15">
      <c r="A3114" s="4"/>
    </row>
    <row r="3115" spans="1:1" ht="13" x14ac:dyDescent="0.15">
      <c r="A3115" s="4"/>
    </row>
    <row r="3116" spans="1:1" ht="13" x14ac:dyDescent="0.15">
      <c r="A3116" s="4"/>
    </row>
    <row r="3117" spans="1:1" ht="13" x14ac:dyDescent="0.15">
      <c r="A3117" s="4"/>
    </row>
    <row r="3118" spans="1:1" ht="13" x14ac:dyDescent="0.15">
      <c r="A3118" s="4"/>
    </row>
    <row r="3119" spans="1:1" ht="13" x14ac:dyDescent="0.15">
      <c r="A3119" s="4"/>
    </row>
    <row r="3120" spans="1:1" ht="13" x14ac:dyDescent="0.15">
      <c r="A3120" s="4"/>
    </row>
    <row r="3121" spans="1:1" ht="13" x14ac:dyDescent="0.15">
      <c r="A3121" s="4"/>
    </row>
    <row r="3122" spans="1:1" ht="13" x14ac:dyDescent="0.15">
      <c r="A3122" s="4"/>
    </row>
    <row r="3123" spans="1:1" ht="13" x14ac:dyDescent="0.15">
      <c r="A3123" s="4"/>
    </row>
    <row r="3124" spans="1:1" ht="13" x14ac:dyDescent="0.15">
      <c r="A3124" s="4"/>
    </row>
    <row r="3125" spans="1:1" ht="13" x14ac:dyDescent="0.15">
      <c r="A3125" s="4"/>
    </row>
    <row r="3126" spans="1:1" ht="13" x14ac:dyDescent="0.15">
      <c r="A3126" s="4"/>
    </row>
    <row r="3127" spans="1:1" ht="13" x14ac:dyDescent="0.15">
      <c r="A3127" s="4"/>
    </row>
    <row r="3128" spans="1:1" ht="13" x14ac:dyDescent="0.15">
      <c r="A3128" s="4"/>
    </row>
    <row r="3129" spans="1:1" ht="13" x14ac:dyDescent="0.15">
      <c r="A3129" s="4"/>
    </row>
    <row r="3130" spans="1:1" ht="13" x14ac:dyDescent="0.15">
      <c r="A3130" s="4"/>
    </row>
    <row r="3131" spans="1:1" ht="13" x14ac:dyDescent="0.15">
      <c r="A3131" s="4"/>
    </row>
    <row r="3132" spans="1:1" ht="13" x14ac:dyDescent="0.15">
      <c r="A3132" s="4"/>
    </row>
    <row r="3133" spans="1:1" ht="13" x14ac:dyDescent="0.15">
      <c r="A3133" s="4"/>
    </row>
    <row r="3134" spans="1:1" ht="13" x14ac:dyDescent="0.15">
      <c r="A3134" s="4"/>
    </row>
    <row r="3135" spans="1:1" ht="13" x14ac:dyDescent="0.15">
      <c r="A3135" s="4"/>
    </row>
    <row r="3136" spans="1:1" ht="13" x14ac:dyDescent="0.15">
      <c r="A3136" s="4"/>
    </row>
    <row r="3137" spans="1:1" ht="13" x14ac:dyDescent="0.15">
      <c r="A3137" s="4"/>
    </row>
    <row r="3138" spans="1:1" ht="13" x14ac:dyDescent="0.15">
      <c r="A3138" s="4"/>
    </row>
    <row r="3139" spans="1:1" ht="13" x14ac:dyDescent="0.15">
      <c r="A3139" s="4"/>
    </row>
    <row r="3140" spans="1:1" ht="13" x14ac:dyDescent="0.15">
      <c r="A3140" s="4"/>
    </row>
    <row r="3141" spans="1:1" ht="13" x14ac:dyDescent="0.15">
      <c r="A3141" s="4"/>
    </row>
    <row r="3142" spans="1:1" ht="13" x14ac:dyDescent="0.15">
      <c r="A3142" s="4"/>
    </row>
    <row r="3143" spans="1:1" ht="13" x14ac:dyDescent="0.15">
      <c r="A3143" s="4"/>
    </row>
    <row r="3144" spans="1:1" ht="13" x14ac:dyDescent="0.15">
      <c r="A3144" s="4"/>
    </row>
    <row r="3145" spans="1:1" ht="13" x14ac:dyDescent="0.15">
      <c r="A3145" s="4"/>
    </row>
    <row r="3146" spans="1:1" ht="13" x14ac:dyDescent="0.15">
      <c r="A3146" s="4"/>
    </row>
    <row r="3147" spans="1:1" ht="13" x14ac:dyDescent="0.15">
      <c r="A3147" s="4"/>
    </row>
    <row r="3148" spans="1:1" ht="13" x14ac:dyDescent="0.15">
      <c r="A3148" s="4"/>
    </row>
    <row r="3149" spans="1:1" ht="13" x14ac:dyDescent="0.15">
      <c r="A3149" s="4"/>
    </row>
    <row r="3150" spans="1:1" ht="13" x14ac:dyDescent="0.15">
      <c r="A3150" s="4"/>
    </row>
    <row r="3151" spans="1:1" ht="13" x14ac:dyDescent="0.15">
      <c r="A3151" s="4"/>
    </row>
    <row r="3152" spans="1:1" ht="13" x14ac:dyDescent="0.15">
      <c r="A3152" s="4"/>
    </row>
    <row r="3153" spans="1:1" ht="13" x14ac:dyDescent="0.15">
      <c r="A3153" s="4"/>
    </row>
    <row r="3154" spans="1:1" ht="13" x14ac:dyDescent="0.15">
      <c r="A3154" s="4"/>
    </row>
    <row r="3155" spans="1:1" ht="13" x14ac:dyDescent="0.15">
      <c r="A3155" s="4"/>
    </row>
    <row r="3156" spans="1:1" ht="13" x14ac:dyDescent="0.15">
      <c r="A3156" s="4"/>
    </row>
    <row r="3157" spans="1:1" ht="13" x14ac:dyDescent="0.15">
      <c r="A3157" s="4"/>
    </row>
    <row r="3158" spans="1:1" ht="13" x14ac:dyDescent="0.15">
      <c r="A3158" s="4"/>
    </row>
    <row r="3159" spans="1:1" ht="13" x14ac:dyDescent="0.15">
      <c r="A3159" s="4"/>
    </row>
    <row r="3160" spans="1:1" ht="13" x14ac:dyDescent="0.15">
      <c r="A3160" s="4"/>
    </row>
    <row r="3161" spans="1:1" ht="13" x14ac:dyDescent="0.15">
      <c r="A3161" s="4"/>
    </row>
    <row r="3162" spans="1:1" ht="13" x14ac:dyDescent="0.15">
      <c r="A3162" s="4"/>
    </row>
    <row r="3163" spans="1:1" ht="13" x14ac:dyDescent="0.15">
      <c r="A3163" s="4"/>
    </row>
    <row r="3164" spans="1:1" ht="13" x14ac:dyDescent="0.15">
      <c r="A3164" s="4"/>
    </row>
    <row r="3165" spans="1:1" ht="13" x14ac:dyDescent="0.15">
      <c r="A3165" s="4"/>
    </row>
    <row r="3166" spans="1:1" ht="13" x14ac:dyDescent="0.15">
      <c r="A3166" s="4"/>
    </row>
    <row r="3167" spans="1:1" ht="13" x14ac:dyDescent="0.15">
      <c r="A3167" s="4"/>
    </row>
    <row r="3168" spans="1:1" ht="13" x14ac:dyDescent="0.15">
      <c r="A3168" s="4"/>
    </row>
    <row r="3169" spans="1:1" ht="13" x14ac:dyDescent="0.15">
      <c r="A3169" s="4"/>
    </row>
    <row r="3170" spans="1:1" ht="13" x14ac:dyDescent="0.15">
      <c r="A3170" s="4"/>
    </row>
    <row r="3171" spans="1:1" ht="13" x14ac:dyDescent="0.15">
      <c r="A3171" s="4"/>
    </row>
    <row r="3172" spans="1:1" ht="13" x14ac:dyDescent="0.15">
      <c r="A3172" s="4"/>
    </row>
    <row r="3173" spans="1:1" ht="13" x14ac:dyDescent="0.15">
      <c r="A3173" s="4"/>
    </row>
    <row r="3174" spans="1:1" ht="13" x14ac:dyDescent="0.15">
      <c r="A3174" s="4"/>
    </row>
    <row r="3175" spans="1:1" ht="13" x14ac:dyDescent="0.15">
      <c r="A3175" s="4"/>
    </row>
    <row r="3176" spans="1:1" ht="13" x14ac:dyDescent="0.15">
      <c r="A3176" s="4"/>
    </row>
    <row r="3177" spans="1:1" ht="13" x14ac:dyDescent="0.15">
      <c r="A3177" s="4"/>
    </row>
    <row r="3178" spans="1:1" ht="13" x14ac:dyDescent="0.15">
      <c r="A3178" s="4"/>
    </row>
    <row r="3179" spans="1:1" ht="13" x14ac:dyDescent="0.15">
      <c r="A3179" s="4"/>
    </row>
    <row r="3180" spans="1:1" ht="13" x14ac:dyDescent="0.15">
      <c r="A3180" s="4"/>
    </row>
    <row r="3181" spans="1:1" ht="13" x14ac:dyDescent="0.15">
      <c r="A3181" s="4"/>
    </row>
    <row r="3182" spans="1:1" ht="13" x14ac:dyDescent="0.15">
      <c r="A3182" s="4"/>
    </row>
    <row r="3183" spans="1:1" ht="13" x14ac:dyDescent="0.15">
      <c r="A3183" s="4"/>
    </row>
    <row r="3184" spans="1:1" ht="13" x14ac:dyDescent="0.15">
      <c r="A3184" s="4"/>
    </row>
    <row r="3185" spans="1:1" ht="13" x14ac:dyDescent="0.15">
      <c r="A3185" s="4"/>
    </row>
    <row r="3186" spans="1:1" ht="13" x14ac:dyDescent="0.15">
      <c r="A3186" s="4"/>
    </row>
    <row r="3187" spans="1:1" ht="13" x14ac:dyDescent="0.15">
      <c r="A3187" s="4"/>
    </row>
    <row r="3188" spans="1:1" ht="13" x14ac:dyDescent="0.15">
      <c r="A3188" s="4"/>
    </row>
    <row r="3189" spans="1:1" ht="13" x14ac:dyDescent="0.15">
      <c r="A3189" s="4"/>
    </row>
    <row r="3190" spans="1:1" ht="13" x14ac:dyDescent="0.15">
      <c r="A3190" s="4"/>
    </row>
    <row r="3191" spans="1:1" ht="13" x14ac:dyDescent="0.15">
      <c r="A3191" s="4"/>
    </row>
    <row r="3192" spans="1:1" ht="13" x14ac:dyDescent="0.15">
      <c r="A3192" s="4"/>
    </row>
    <row r="3193" spans="1:1" ht="13" x14ac:dyDescent="0.15">
      <c r="A3193" s="4"/>
    </row>
    <row r="3194" spans="1:1" ht="13" x14ac:dyDescent="0.15">
      <c r="A3194" s="4"/>
    </row>
    <row r="3195" spans="1:1" ht="13" x14ac:dyDescent="0.15">
      <c r="A3195" s="4"/>
    </row>
    <row r="3196" spans="1:1" ht="13" x14ac:dyDescent="0.15">
      <c r="A3196" s="4"/>
    </row>
    <row r="3197" spans="1:1" ht="13" x14ac:dyDescent="0.15">
      <c r="A3197" s="4"/>
    </row>
    <row r="3198" spans="1:1" ht="13" x14ac:dyDescent="0.15">
      <c r="A3198" s="4"/>
    </row>
    <row r="3199" spans="1:1" ht="13" x14ac:dyDescent="0.15">
      <c r="A3199" s="4"/>
    </row>
    <row r="3200" spans="1:1" ht="13" x14ac:dyDescent="0.15">
      <c r="A3200" s="4"/>
    </row>
    <row r="3201" spans="1:1" ht="13" x14ac:dyDescent="0.15">
      <c r="A3201" s="4"/>
    </row>
    <row r="3202" spans="1:1" ht="13" x14ac:dyDescent="0.15">
      <c r="A3202" s="4"/>
    </row>
    <row r="3203" spans="1:1" ht="13" x14ac:dyDescent="0.15">
      <c r="A3203" s="4"/>
    </row>
    <row r="3204" spans="1:1" ht="13" x14ac:dyDescent="0.15">
      <c r="A3204" s="4"/>
    </row>
    <row r="3205" spans="1:1" ht="13" x14ac:dyDescent="0.15">
      <c r="A3205" s="4"/>
    </row>
    <row r="3206" spans="1:1" ht="13" x14ac:dyDescent="0.15">
      <c r="A3206" s="4"/>
    </row>
    <row r="3207" spans="1:1" ht="13" x14ac:dyDescent="0.15">
      <c r="A3207" s="4"/>
    </row>
    <row r="3208" spans="1:1" ht="13" x14ac:dyDescent="0.15">
      <c r="A3208" s="4"/>
    </row>
    <row r="3209" spans="1:1" ht="13" x14ac:dyDescent="0.15">
      <c r="A3209" s="4"/>
    </row>
    <row r="3210" spans="1:1" ht="13" x14ac:dyDescent="0.15">
      <c r="A3210" s="4"/>
    </row>
    <row r="3211" spans="1:1" ht="13" x14ac:dyDescent="0.15">
      <c r="A3211" s="4"/>
    </row>
    <row r="3212" spans="1:1" ht="13" x14ac:dyDescent="0.15">
      <c r="A3212" s="4"/>
    </row>
    <row r="3213" spans="1:1" ht="13" x14ac:dyDescent="0.15">
      <c r="A3213" s="4"/>
    </row>
    <row r="3214" spans="1:1" ht="13" x14ac:dyDescent="0.15">
      <c r="A3214" s="4"/>
    </row>
    <row r="3215" spans="1:1" ht="13" x14ac:dyDescent="0.15">
      <c r="A3215" s="4"/>
    </row>
    <row r="3216" spans="1:1" ht="13" x14ac:dyDescent="0.15">
      <c r="A3216" s="4"/>
    </row>
    <row r="3217" spans="1:1" ht="13" x14ac:dyDescent="0.15">
      <c r="A3217" s="4"/>
    </row>
    <row r="3218" spans="1:1" ht="13" x14ac:dyDescent="0.15">
      <c r="A3218" s="4"/>
    </row>
    <row r="3219" spans="1:1" ht="13" x14ac:dyDescent="0.15">
      <c r="A3219" s="4"/>
    </row>
    <row r="3220" spans="1:1" ht="13" x14ac:dyDescent="0.15">
      <c r="A3220" s="4"/>
    </row>
    <row r="3221" spans="1:1" ht="13" x14ac:dyDescent="0.15">
      <c r="A3221" s="4"/>
    </row>
    <row r="3222" spans="1:1" ht="13" x14ac:dyDescent="0.15">
      <c r="A3222" s="4"/>
    </row>
    <row r="3223" spans="1:1" ht="13" x14ac:dyDescent="0.15">
      <c r="A3223" s="4"/>
    </row>
    <row r="3224" spans="1:1" ht="13" x14ac:dyDescent="0.15">
      <c r="A3224" s="4"/>
    </row>
    <row r="3225" spans="1:1" ht="13" x14ac:dyDescent="0.15">
      <c r="A3225" s="4"/>
    </row>
    <row r="3226" spans="1:1" ht="13" x14ac:dyDescent="0.15">
      <c r="A3226" s="4"/>
    </row>
    <row r="3227" spans="1:1" ht="13" x14ac:dyDescent="0.15">
      <c r="A3227" s="4"/>
    </row>
    <row r="3228" spans="1:1" ht="13" x14ac:dyDescent="0.15">
      <c r="A3228" s="4"/>
    </row>
    <row r="3229" spans="1:1" ht="13" x14ac:dyDescent="0.15">
      <c r="A3229" s="4"/>
    </row>
    <row r="3230" spans="1:1" ht="13" x14ac:dyDescent="0.15">
      <c r="A3230" s="4"/>
    </row>
    <row r="3231" spans="1:1" ht="13" x14ac:dyDescent="0.15">
      <c r="A3231" s="4"/>
    </row>
    <row r="3232" spans="1:1" ht="13" x14ac:dyDescent="0.15">
      <c r="A3232" s="4"/>
    </row>
    <row r="3233" spans="1:1" ht="13" x14ac:dyDescent="0.15">
      <c r="A3233" s="4"/>
    </row>
    <row r="3234" spans="1:1" ht="13" x14ac:dyDescent="0.15">
      <c r="A3234" s="4"/>
    </row>
    <row r="3235" spans="1:1" ht="13" x14ac:dyDescent="0.15">
      <c r="A3235" s="4"/>
    </row>
    <row r="3236" spans="1:1" ht="13" x14ac:dyDescent="0.15">
      <c r="A3236" s="4"/>
    </row>
    <row r="3237" spans="1:1" ht="13" x14ac:dyDescent="0.15">
      <c r="A3237" s="4"/>
    </row>
    <row r="3238" spans="1:1" ht="13" x14ac:dyDescent="0.15">
      <c r="A3238" s="4"/>
    </row>
    <row r="3239" spans="1:1" ht="13" x14ac:dyDescent="0.15">
      <c r="A3239" s="4"/>
    </row>
    <row r="3240" spans="1:1" ht="13" x14ac:dyDescent="0.15">
      <c r="A3240" s="4"/>
    </row>
    <row r="3241" spans="1:1" ht="13" x14ac:dyDescent="0.15">
      <c r="A3241" s="4"/>
    </row>
    <row r="3242" spans="1:1" ht="13" x14ac:dyDescent="0.15">
      <c r="A3242" s="4"/>
    </row>
    <row r="3243" spans="1:1" ht="13" x14ac:dyDescent="0.15">
      <c r="A3243" s="4"/>
    </row>
    <row r="3244" spans="1:1" ht="13" x14ac:dyDescent="0.15">
      <c r="A3244" s="4"/>
    </row>
    <row r="3245" spans="1:1" ht="13" x14ac:dyDescent="0.15">
      <c r="A3245" s="4"/>
    </row>
    <row r="3246" spans="1:1" ht="13" x14ac:dyDescent="0.15">
      <c r="A3246" s="4"/>
    </row>
    <row r="3247" spans="1:1" ht="13" x14ac:dyDescent="0.15">
      <c r="A3247" s="4"/>
    </row>
    <row r="3248" spans="1:1" ht="13" x14ac:dyDescent="0.15">
      <c r="A3248" s="4"/>
    </row>
    <row r="3249" spans="1:1" ht="13" x14ac:dyDescent="0.15">
      <c r="A3249" s="4"/>
    </row>
    <row r="3250" spans="1:1" ht="13" x14ac:dyDescent="0.15">
      <c r="A3250" s="4"/>
    </row>
    <row r="3251" spans="1:1" ht="13" x14ac:dyDescent="0.15">
      <c r="A3251" s="4"/>
    </row>
    <row r="3252" spans="1:1" ht="13" x14ac:dyDescent="0.15">
      <c r="A3252" s="4"/>
    </row>
    <row r="3253" spans="1:1" ht="13" x14ac:dyDescent="0.15">
      <c r="A3253" s="4"/>
    </row>
    <row r="3254" spans="1:1" ht="13" x14ac:dyDescent="0.15">
      <c r="A3254" s="4"/>
    </row>
    <row r="3255" spans="1:1" ht="13" x14ac:dyDescent="0.15">
      <c r="A3255" s="4"/>
    </row>
    <row r="3256" spans="1:1" ht="13" x14ac:dyDescent="0.15">
      <c r="A3256" s="4"/>
    </row>
    <row r="3257" spans="1:1" ht="13" x14ac:dyDescent="0.15">
      <c r="A3257" s="4"/>
    </row>
    <row r="3258" spans="1:1" ht="13" x14ac:dyDescent="0.15">
      <c r="A3258" s="4"/>
    </row>
    <row r="3259" spans="1:1" ht="13" x14ac:dyDescent="0.15">
      <c r="A3259" s="4"/>
    </row>
    <row r="3260" spans="1:1" ht="13" x14ac:dyDescent="0.15">
      <c r="A3260" s="4"/>
    </row>
    <row r="3261" spans="1:1" ht="13" x14ac:dyDescent="0.15">
      <c r="A3261" s="4"/>
    </row>
    <row r="3262" spans="1:1" ht="13" x14ac:dyDescent="0.15">
      <c r="A3262" s="4"/>
    </row>
    <row r="3263" spans="1:1" ht="13" x14ac:dyDescent="0.15">
      <c r="A3263" s="4"/>
    </row>
    <row r="3264" spans="1:1" ht="13" x14ac:dyDescent="0.15">
      <c r="A3264" s="4"/>
    </row>
    <row r="3265" spans="1:1" ht="13" x14ac:dyDescent="0.15">
      <c r="A3265" s="4"/>
    </row>
    <row r="3266" spans="1:1" ht="13" x14ac:dyDescent="0.15">
      <c r="A3266" s="4"/>
    </row>
    <row r="3267" spans="1:1" ht="13" x14ac:dyDescent="0.15">
      <c r="A3267" s="4"/>
    </row>
    <row r="3268" spans="1:1" ht="13" x14ac:dyDescent="0.15">
      <c r="A3268" s="4"/>
    </row>
    <row r="3269" spans="1:1" ht="13" x14ac:dyDescent="0.15">
      <c r="A3269" s="4"/>
    </row>
    <row r="3270" spans="1:1" ht="13" x14ac:dyDescent="0.15">
      <c r="A3270" s="4"/>
    </row>
    <row r="3271" spans="1:1" ht="13" x14ac:dyDescent="0.15">
      <c r="A3271" s="4"/>
    </row>
    <row r="3272" spans="1:1" ht="13" x14ac:dyDescent="0.15">
      <c r="A3272" s="4"/>
    </row>
    <row r="3273" spans="1:1" ht="13" x14ac:dyDescent="0.15">
      <c r="A3273" s="4"/>
    </row>
    <row r="3274" spans="1:1" ht="13" x14ac:dyDescent="0.15">
      <c r="A3274" s="4"/>
    </row>
    <row r="3275" spans="1:1" ht="13" x14ac:dyDescent="0.15">
      <c r="A3275" s="4"/>
    </row>
    <row r="3276" spans="1:1" ht="13" x14ac:dyDescent="0.15">
      <c r="A3276" s="4"/>
    </row>
    <row r="3277" spans="1:1" ht="13" x14ac:dyDescent="0.15">
      <c r="A3277" s="4"/>
    </row>
    <row r="3278" spans="1:1" ht="13" x14ac:dyDescent="0.15">
      <c r="A3278" s="4"/>
    </row>
    <row r="3279" spans="1:1" ht="13" x14ac:dyDescent="0.15">
      <c r="A3279" s="4"/>
    </row>
    <row r="3280" spans="1:1" ht="13" x14ac:dyDescent="0.15">
      <c r="A3280" s="4"/>
    </row>
    <row r="3281" spans="1:1" ht="13" x14ac:dyDescent="0.15">
      <c r="A3281" s="4"/>
    </row>
    <row r="3282" spans="1:1" ht="13" x14ac:dyDescent="0.15">
      <c r="A3282" s="4"/>
    </row>
    <row r="3283" spans="1:1" ht="13" x14ac:dyDescent="0.15">
      <c r="A3283" s="4"/>
    </row>
    <row r="3284" spans="1:1" ht="13" x14ac:dyDescent="0.15">
      <c r="A3284" s="4"/>
    </row>
    <row r="3285" spans="1:1" ht="13" x14ac:dyDescent="0.15">
      <c r="A3285" s="4"/>
    </row>
    <row r="3286" spans="1:1" ht="13" x14ac:dyDescent="0.15">
      <c r="A3286" s="4"/>
    </row>
    <row r="3287" spans="1:1" ht="13" x14ac:dyDescent="0.15">
      <c r="A3287" s="4"/>
    </row>
    <row r="3288" spans="1:1" ht="13" x14ac:dyDescent="0.15">
      <c r="A3288" s="4"/>
    </row>
    <row r="3289" spans="1:1" ht="13" x14ac:dyDescent="0.15">
      <c r="A3289" s="4"/>
    </row>
    <row r="3290" spans="1:1" ht="13" x14ac:dyDescent="0.15">
      <c r="A3290" s="4"/>
    </row>
    <row r="3291" spans="1:1" ht="13" x14ac:dyDescent="0.15">
      <c r="A3291" s="4"/>
    </row>
    <row r="3292" spans="1:1" ht="13" x14ac:dyDescent="0.15">
      <c r="A3292" s="4"/>
    </row>
    <row r="3293" spans="1:1" ht="13" x14ac:dyDescent="0.15">
      <c r="A3293" s="4"/>
    </row>
    <row r="3294" spans="1:1" ht="13" x14ac:dyDescent="0.15">
      <c r="A3294" s="4"/>
    </row>
    <row r="3295" spans="1:1" ht="13" x14ac:dyDescent="0.15">
      <c r="A3295" s="4"/>
    </row>
    <row r="3296" spans="1:1" ht="13" x14ac:dyDescent="0.15">
      <c r="A3296" s="4"/>
    </row>
    <row r="3297" spans="1:1" ht="13" x14ac:dyDescent="0.15">
      <c r="A3297" s="4"/>
    </row>
    <row r="3298" spans="1:1" ht="13" x14ac:dyDescent="0.15">
      <c r="A3298" s="4"/>
    </row>
    <row r="3299" spans="1:1" ht="13" x14ac:dyDescent="0.15">
      <c r="A3299" s="4"/>
    </row>
    <row r="3300" spans="1:1" ht="13" x14ac:dyDescent="0.15">
      <c r="A3300" s="4"/>
    </row>
    <row r="3301" spans="1:1" ht="13" x14ac:dyDescent="0.15">
      <c r="A3301" s="4"/>
    </row>
    <row r="3302" spans="1:1" ht="13" x14ac:dyDescent="0.15">
      <c r="A3302" s="4"/>
    </row>
    <row r="3303" spans="1:1" ht="13" x14ac:dyDescent="0.15">
      <c r="A3303" s="4"/>
    </row>
    <row r="3304" spans="1:1" ht="13" x14ac:dyDescent="0.15">
      <c r="A3304" s="4"/>
    </row>
    <row r="3305" spans="1:1" ht="13" x14ac:dyDescent="0.15">
      <c r="A3305" s="4"/>
    </row>
    <row r="3306" spans="1:1" ht="13" x14ac:dyDescent="0.15">
      <c r="A3306" s="4"/>
    </row>
    <row r="3307" spans="1:1" ht="13" x14ac:dyDescent="0.15">
      <c r="A3307" s="4"/>
    </row>
    <row r="3308" spans="1:1" ht="13" x14ac:dyDescent="0.15">
      <c r="A3308" s="4"/>
    </row>
    <row r="3309" spans="1:1" ht="13" x14ac:dyDescent="0.15">
      <c r="A3309" s="4"/>
    </row>
    <row r="3310" spans="1:1" ht="13" x14ac:dyDescent="0.15">
      <c r="A3310" s="4"/>
    </row>
    <row r="3311" spans="1:1" ht="13" x14ac:dyDescent="0.15">
      <c r="A3311" s="4"/>
    </row>
    <row r="3312" spans="1:1" ht="13" x14ac:dyDescent="0.15">
      <c r="A3312" s="4"/>
    </row>
    <row r="3313" spans="1:1" ht="13" x14ac:dyDescent="0.15">
      <c r="A3313" s="4"/>
    </row>
    <row r="3314" spans="1:1" ht="13" x14ac:dyDescent="0.15">
      <c r="A3314" s="4"/>
    </row>
    <row r="3315" spans="1:1" ht="13" x14ac:dyDescent="0.15">
      <c r="A3315" s="4"/>
    </row>
    <row r="3316" spans="1:1" ht="13" x14ac:dyDescent="0.15">
      <c r="A3316" s="4"/>
    </row>
    <row r="3317" spans="1:1" ht="13" x14ac:dyDescent="0.15">
      <c r="A3317" s="4"/>
    </row>
    <row r="3318" spans="1:1" ht="13" x14ac:dyDescent="0.15">
      <c r="A3318" s="4"/>
    </row>
    <row r="3319" spans="1:1" ht="13" x14ac:dyDescent="0.15">
      <c r="A3319" s="4"/>
    </row>
    <row r="3320" spans="1:1" ht="13" x14ac:dyDescent="0.15">
      <c r="A3320" s="4"/>
    </row>
    <row r="3321" spans="1:1" ht="13" x14ac:dyDescent="0.15">
      <c r="A3321" s="4"/>
    </row>
    <row r="3322" spans="1:1" ht="13" x14ac:dyDescent="0.15">
      <c r="A3322" s="4"/>
    </row>
    <row r="3323" spans="1:1" ht="13" x14ac:dyDescent="0.15">
      <c r="A3323" s="4"/>
    </row>
    <row r="3324" spans="1:1" ht="13" x14ac:dyDescent="0.15">
      <c r="A3324" s="4"/>
    </row>
    <row r="3325" spans="1:1" ht="13" x14ac:dyDescent="0.15">
      <c r="A3325" s="4"/>
    </row>
    <row r="3326" spans="1:1" ht="13" x14ac:dyDescent="0.15">
      <c r="A3326" s="4"/>
    </row>
    <row r="3327" spans="1:1" ht="13" x14ac:dyDescent="0.15">
      <c r="A3327" s="4"/>
    </row>
    <row r="3328" spans="1:1" ht="13" x14ac:dyDescent="0.15">
      <c r="A3328" s="4"/>
    </row>
    <row r="3329" spans="1:1" ht="13" x14ac:dyDescent="0.15">
      <c r="A3329" s="4"/>
    </row>
    <row r="3330" spans="1:1" ht="13" x14ac:dyDescent="0.15">
      <c r="A3330" s="4"/>
    </row>
    <row r="3331" spans="1:1" ht="13" x14ac:dyDescent="0.15">
      <c r="A3331" s="4"/>
    </row>
    <row r="3332" spans="1:1" ht="13" x14ac:dyDescent="0.15">
      <c r="A3332" s="4"/>
    </row>
    <row r="3333" spans="1:1" ht="13" x14ac:dyDescent="0.15">
      <c r="A3333" s="4"/>
    </row>
    <row r="3334" spans="1:1" ht="13" x14ac:dyDescent="0.15">
      <c r="A3334" s="4"/>
    </row>
    <row r="3335" spans="1:1" ht="13" x14ac:dyDescent="0.15">
      <c r="A3335" s="4"/>
    </row>
    <row r="3336" spans="1:1" ht="13" x14ac:dyDescent="0.15">
      <c r="A3336" s="4"/>
    </row>
    <row r="3337" spans="1:1" ht="13" x14ac:dyDescent="0.15">
      <c r="A3337" s="4"/>
    </row>
    <row r="3338" spans="1:1" ht="13" x14ac:dyDescent="0.15">
      <c r="A3338" s="4"/>
    </row>
    <row r="3339" spans="1:1" ht="13" x14ac:dyDescent="0.15">
      <c r="A3339" s="4"/>
    </row>
    <row r="3340" spans="1:1" ht="13" x14ac:dyDescent="0.15">
      <c r="A3340" s="4"/>
    </row>
    <row r="3341" spans="1:1" ht="13" x14ac:dyDescent="0.15">
      <c r="A3341" s="4"/>
    </row>
    <row r="3342" spans="1:1" ht="13" x14ac:dyDescent="0.15">
      <c r="A3342" s="4"/>
    </row>
    <row r="3343" spans="1:1" ht="13" x14ac:dyDescent="0.15">
      <c r="A3343" s="4"/>
    </row>
    <row r="3344" spans="1:1" ht="13" x14ac:dyDescent="0.15">
      <c r="A3344" s="4"/>
    </row>
    <row r="3345" spans="1:1" ht="13" x14ac:dyDescent="0.15">
      <c r="A3345" s="4"/>
    </row>
    <row r="3346" spans="1:1" ht="13" x14ac:dyDescent="0.15">
      <c r="A3346" s="4"/>
    </row>
    <row r="3347" spans="1:1" ht="13" x14ac:dyDescent="0.15">
      <c r="A3347" s="4"/>
    </row>
    <row r="3348" spans="1:1" ht="13" x14ac:dyDescent="0.15">
      <c r="A3348" s="4"/>
    </row>
    <row r="3349" spans="1:1" ht="13" x14ac:dyDescent="0.15">
      <c r="A3349" s="4"/>
    </row>
    <row r="3350" spans="1:1" ht="13" x14ac:dyDescent="0.15">
      <c r="A3350" s="4"/>
    </row>
    <row r="3351" spans="1:1" ht="13" x14ac:dyDescent="0.15">
      <c r="A3351" s="4"/>
    </row>
    <row r="3352" spans="1:1" ht="13" x14ac:dyDescent="0.15">
      <c r="A3352" s="4"/>
    </row>
    <row r="3353" spans="1:1" ht="13" x14ac:dyDescent="0.15">
      <c r="A3353" s="4"/>
    </row>
    <row r="3354" spans="1:1" ht="13" x14ac:dyDescent="0.15">
      <c r="A3354" s="4"/>
    </row>
    <row r="3355" spans="1:1" ht="13" x14ac:dyDescent="0.15">
      <c r="A3355" s="4"/>
    </row>
    <row r="3356" spans="1:1" ht="13" x14ac:dyDescent="0.15">
      <c r="A3356" s="4"/>
    </row>
    <row r="3357" spans="1:1" ht="13" x14ac:dyDescent="0.15">
      <c r="A3357" s="4"/>
    </row>
    <row r="3358" spans="1:1" ht="13" x14ac:dyDescent="0.15">
      <c r="A3358" s="4"/>
    </row>
    <row r="3359" spans="1:1" ht="13" x14ac:dyDescent="0.15">
      <c r="A3359" s="4"/>
    </row>
    <row r="3360" spans="1:1" ht="13" x14ac:dyDescent="0.15">
      <c r="A3360" s="4"/>
    </row>
    <row r="3361" spans="1:1" ht="13" x14ac:dyDescent="0.15">
      <c r="A3361" s="4"/>
    </row>
    <row r="3362" spans="1:1" ht="13" x14ac:dyDescent="0.15">
      <c r="A3362" s="4"/>
    </row>
    <row r="3363" spans="1:1" ht="13" x14ac:dyDescent="0.15">
      <c r="A3363" s="4"/>
    </row>
    <row r="3364" spans="1:1" ht="13" x14ac:dyDescent="0.15">
      <c r="A3364" s="4"/>
    </row>
    <row r="3365" spans="1:1" ht="13" x14ac:dyDescent="0.15">
      <c r="A3365" s="4"/>
    </row>
    <row r="3366" spans="1:1" ht="13" x14ac:dyDescent="0.15">
      <c r="A3366" s="4"/>
    </row>
    <row r="3367" spans="1:1" ht="13" x14ac:dyDescent="0.15">
      <c r="A3367" s="4"/>
    </row>
    <row r="3368" spans="1:1" ht="13" x14ac:dyDescent="0.15">
      <c r="A3368" s="4"/>
    </row>
    <row r="3369" spans="1:1" ht="13" x14ac:dyDescent="0.15">
      <c r="A3369" s="4"/>
    </row>
    <row r="3370" spans="1:1" ht="13" x14ac:dyDescent="0.15">
      <c r="A3370" s="4"/>
    </row>
    <row r="3371" spans="1:1" ht="13" x14ac:dyDescent="0.15">
      <c r="A3371" s="4"/>
    </row>
    <row r="3372" spans="1:1" ht="13" x14ac:dyDescent="0.15">
      <c r="A3372" s="4"/>
    </row>
    <row r="3373" spans="1:1" ht="13" x14ac:dyDescent="0.15">
      <c r="A3373" s="4"/>
    </row>
    <row r="3374" spans="1:1" ht="13" x14ac:dyDescent="0.15">
      <c r="A3374" s="4"/>
    </row>
    <row r="3375" spans="1:1" ht="13" x14ac:dyDescent="0.15">
      <c r="A3375" s="4"/>
    </row>
    <row r="3376" spans="1:1" ht="13" x14ac:dyDescent="0.15">
      <c r="A3376" s="4"/>
    </row>
    <row r="3377" spans="1:1" ht="13" x14ac:dyDescent="0.15">
      <c r="A3377" s="4"/>
    </row>
    <row r="3378" spans="1:1" ht="13" x14ac:dyDescent="0.15">
      <c r="A3378" s="4"/>
    </row>
    <row r="3379" spans="1:1" ht="13" x14ac:dyDescent="0.15">
      <c r="A3379" s="4"/>
    </row>
    <row r="3380" spans="1:1" ht="13" x14ac:dyDescent="0.15">
      <c r="A3380" s="4"/>
    </row>
    <row r="3381" spans="1:1" ht="13" x14ac:dyDescent="0.15">
      <c r="A3381" s="4"/>
    </row>
    <row r="3382" spans="1:1" ht="13" x14ac:dyDescent="0.15">
      <c r="A3382" s="4"/>
    </row>
    <row r="3383" spans="1:1" ht="13" x14ac:dyDescent="0.15">
      <c r="A3383" s="4"/>
    </row>
    <row r="3384" spans="1:1" ht="13" x14ac:dyDescent="0.15">
      <c r="A3384" s="4"/>
    </row>
    <row r="3385" spans="1:1" ht="13" x14ac:dyDescent="0.15">
      <c r="A3385" s="4"/>
    </row>
    <row r="3386" spans="1:1" ht="13" x14ac:dyDescent="0.15">
      <c r="A3386" s="4"/>
    </row>
    <row r="3387" spans="1:1" ht="13" x14ac:dyDescent="0.15">
      <c r="A3387" s="4"/>
    </row>
    <row r="3388" spans="1:1" ht="13" x14ac:dyDescent="0.15">
      <c r="A3388" s="4"/>
    </row>
    <row r="3389" spans="1:1" ht="13" x14ac:dyDescent="0.15">
      <c r="A3389" s="4"/>
    </row>
    <row r="3390" spans="1:1" ht="13" x14ac:dyDescent="0.15">
      <c r="A3390" s="4"/>
    </row>
    <row r="3391" spans="1:1" ht="13" x14ac:dyDescent="0.15">
      <c r="A3391" s="4"/>
    </row>
    <row r="3392" spans="1:1" ht="13" x14ac:dyDescent="0.15">
      <c r="A3392" s="4"/>
    </row>
    <row r="3393" spans="1:1" ht="13" x14ac:dyDescent="0.15">
      <c r="A3393" s="4"/>
    </row>
    <row r="3394" spans="1:1" ht="13" x14ac:dyDescent="0.15">
      <c r="A3394" s="4"/>
    </row>
    <row r="3395" spans="1:1" ht="13" x14ac:dyDescent="0.15">
      <c r="A3395" s="4"/>
    </row>
    <row r="3396" spans="1:1" ht="13" x14ac:dyDescent="0.15">
      <c r="A3396" s="4"/>
    </row>
    <row r="3397" spans="1:1" ht="13" x14ac:dyDescent="0.15">
      <c r="A3397" s="4"/>
    </row>
    <row r="3398" spans="1:1" ht="13" x14ac:dyDescent="0.15">
      <c r="A3398" s="4"/>
    </row>
    <row r="3399" spans="1:1" ht="13" x14ac:dyDescent="0.15">
      <c r="A3399" s="4"/>
    </row>
    <row r="3400" spans="1:1" ht="13" x14ac:dyDescent="0.15">
      <c r="A3400" s="4"/>
    </row>
    <row r="3401" spans="1:1" ht="13" x14ac:dyDescent="0.15">
      <c r="A3401" s="4"/>
    </row>
    <row r="3402" spans="1:1" ht="13" x14ac:dyDescent="0.15">
      <c r="A3402" s="4"/>
    </row>
    <row r="3403" spans="1:1" ht="13" x14ac:dyDescent="0.15">
      <c r="A3403" s="4"/>
    </row>
    <row r="3404" spans="1:1" ht="13" x14ac:dyDescent="0.15">
      <c r="A3404" s="4"/>
    </row>
    <row r="3405" spans="1:1" ht="13" x14ac:dyDescent="0.15">
      <c r="A3405" s="4"/>
    </row>
    <row r="3406" spans="1:1" ht="13" x14ac:dyDescent="0.15">
      <c r="A3406" s="4"/>
    </row>
    <row r="3407" spans="1:1" ht="13" x14ac:dyDescent="0.15">
      <c r="A3407" s="4"/>
    </row>
    <row r="3408" spans="1:1" ht="13" x14ac:dyDescent="0.15">
      <c r="A3408" s="4"/>
    </row>
    <row r="3409" spans="1:1" ht="13" x14ac:dyDescent="0.15">
      <c r="A3409" s="4"/>
    </row>
    <row r="3410" spans="1:1" ht="13" x14ac:dyDescent="0.15">
      <c r="A3410" s="4"/>
    </row>
    <row r="3411" spans="1:1" ht="13" x14ac:dyDescent="0.15">
      <c r="A3411" s="4"/>
    </row>
    <row r="3412" spans="1:1" ht="13" x14ac:dyDescent="0.15">
      <c r="A3412" s="4"/>
    </row>
    <row r="3413" spans="1:1" ht="13" x14ac:dyDescent="0.15">
      <c r="A3413" s="4"/>
    </row>
    <row r="3414" spans="1:1" ht="13" x14ac:dyDescent="0.15">
      <c r="A3414" s="4"/>
    </row>
    <row r="3415" spans="1:1" ht="13" x14ac:dyDescent="0.15">
      <c r="A3415" s="4"/>
    </row>
    <row r="3416" spans="1:1" ht="13" x14ac:dyDescent="0.15">
      <c r="A3416" s="4"/>
    </row>
    <row r="3417" spans="1:1" ht="13" x14ac:dyDescent="0.15">
      <c r="A3417" s="4"/>
    </row>
    <row r="3418" spans="1:1" ht="13" x14ac:dyDescent="0.15">
      <c r="A341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226"/>
  <sheetViews>
    <sheetView workbookViewId="0"/>
  </sheetViews>
  <sheetFormatPr baseColWidth="10" defaultColWidth="12.6640625" defaultRowHeight="15.75" customHeight="1" x14ac:dyDescent="0.15"/>
  <cols>
    <col min="1" max="1" width="38.1640625" customWidth="1"/>
    <col min="2" max="2" width="38.6640625" customWidth="1"/>
    <col min="3" max="3" width="19.33203125" customWidth="1"/>
  </cols>
  <sheetData>
    <row r="1" spans="1:26" ht="15.75" customHeight="1" x14ac:dyDescent="0.15">
      <c r="A1" s="1" t="s">
        <v>0</v>
      </c>
      <c r="B1" s="1" t="s">
        <v>15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4" t="str">
        <f t="shared" ref="A2:A226" si="0">CONCATENATE("Sela - ", B2)</f>
        <v>Sela - Aan mijn zij</v>
      </c>
      <c r="B2" s="4" t="s">
        <v>24</v>
      </c>
    </row>
    <row r="3" spans="1:26" ht="15.75" customHeight="1" x14ac:dyDescent="0.15">
      <c r="A3" s="4" t="str">
        <f t="shared" si="0"/>
        <v>Sela - Aan uw tafel</v>
      </c>
      <c r="B3" s="4" t="s">
        <v>27</v>
      </c>
    </row>
    <row r="4" spans="1:26" ht="15.75" customHeight="1" x14ac:dyDescent="0.15">
      <c r="A4" s="4" t="str">
        <f t="shared" si="0"/>
        <v>Sela - Agnus Dei</v>
      </c>
      <c r="B4" s="4" t="s">
        <v>29</v>
      </c>
    </row>
    <row r="5" spans="1:26" ht="15.75" customHeight="1" x14ac:dyDescent="0.15">
      <c r="A5" s="4" t="str">
        <f t="shared" si="0"/>
        <v>Sela - Alfa en omega</v>
      </c>
      <c r="B5" s="4" t="s">
        <v>31</v>
      </c>
    </row>
    <row r="6" spans="1:26" ht="15.75" customHeight="1" x14ac:dyDescent="0.15">
      <c r="A6" s="4" t="str">
        <f t="shared" si="0"/>
        <v>Sela - Alle eer aan God</v>
      </c>
      <c r="B6" s="4" t="s">
        <v>33</v>
      </c>
    </row>
    <row r="7" spans="1:26" ht="15.75" customHeight="1" x14ac:dyDescent="0.15">
      <c r="A7" s="4" t="str">
        <f t="shared" si="0"/>
        <v>Sela - Alleen met God</v>
      </c>
      <c r="B7" s="4" t="s">
        <v>34</v>
      </c>
    </row>
    <row r="8" spans="1:26" ht="15.75" customHeight="1" x14ac:dyDescent="0.15">
      <c r="A8" s="4" t="str">
        <f t="shared" si="0"/>
        <v>Sela - Alles voor Hem</v>
      </c>
      <c r="B8" s="4" t="s">
        <v>37</v>
      </c>
    </row>
    <row r="9" spans="1:26" ht="15.75" customHeight="1" x14ac:dyDescent="0.15">
      <c r="A9" s="4" t="str">
        <f t="shared" si="0"/>
        <v>Sela - Alles wat adem heeft</v>
      </c>
      <c r="B9" s="4" t="s">
        <v>39</v>
      </c>
    </row>
    <row r="10" spans="1:26" ht="15.75" customHeight="1" x14ac:dyDescent="0.15">
      <c r="A10" s="4" t="str">
        <f t="shared" si="0"/>
        <v>Sela - Alles wordt nieuw</v>
      </c>
      <c r="B10" s="4" t="s">
        <v>41</v>
      </c>
    </row>
    <row r="11" spans="1:26" ht="15.75" customHeight="1" x14ac:dyDescent="0.15">
      <c r="A11" s="4" t="str">
        <f t="shared" si="0"/>
        <v>Sela - Als alles duister is</v>
      </c>
      <c r="B11" s="4" t="s">
        <v>43</v>
      </c>
    </row>
    <row r="12" spans="1:26" ht="15.75" customHeight="1" x14ac:dyDescent="0.15">
      <c r="A12" s="4" t="str">
        <f t="shared" si="0"/>
        <v>Sela - Als een vuur van binnen</v>
      </c>
      <c r="B12" s="4" t="s">
        <v>47</v>
      </c>
    </row>
    <row r="13" spans="1:26" ht="15.75" customHeight="1" x14ac:dyDescent="0.15">
      <c r="A13" s="4" t="str">
        <f t="shared" si="0"/>
        <v>Sela - Als ik U ontmoet</v>
      </c>
      <c r="B13" s="4" t="s">
        <v>49</v>
      </c>
    </row>
    <row r="14" spans="1:26" ht="15.75" customHeight="1" x14ac:dyDescent="0.15">
      <c r="A14" s="4" t="str">
        <f t="shared" si="0"/>
        <v>Sela - Als ik naar de bergen kijk</v>
      </c>
      <c r="B14" s="4" t="s">
        <v>52</v>
      </c>
    </row>
    <row r="15" spans="1:26" ht="15.75" customHeight="1" x14ac:dyDescent="0.15">
      <c r="A15" s="4" t="str">
        <f t="shared" si="0"/>
        <v>Sela - Altijd bij U</v>
      </c>
      <c r="B15" s="4" t="s">
        <v>54</v>
      </c>
    </row>
    <row r="16" spans="1:26" ht="15.75" customHeight="1" x14ac:dyDescent="0.15">
      <c r="A16" s="4" t="str">
        <f t="shared" si="0"/>
        <v>Sela - Altijd dezelfde</v>
      </c>
      <c r="B16" s="4" t="s">
        <v>55</v>
      </c>
    </row>
    <row r="17" spans="1:2" ht="15.75" customHeight="1" x14ac:dyDescent="0.15">
      <c r="A17" s="4" t="str">
        <f t="shared" si="0"/>
        <v>Sela - Avondlied</v>
      </c>
      <c r="B17" s="4" t="s">
        <v>57</v>
      </c>
    </row>
    <row r="18" spans="1:2" ht="15.75" customHeight="1" x14ac:dyDescent="0.15">
      <c r="A18" s="4" t="str">
        <f t="shared" si="0"/>
        <v>Sela - Avondmaal</v>
      </c>
      <c r="B18" s="4" t="s">
        <v>59</v>
      </c>
    </row>
    <row r="19" spans="1:2" ht="15.75" customHeight="1" x14ac:dyDescent="0.15">
      <c r="A19" s="4" t="str">
        <f t="shared" si="0"/>
        <v>Sela - Belijdenis</v>
      </c>
      <c r="B19" s="4" t="s">
        <v>60</v>
      </c>
    </row>
    <row r="20" spans="1:2" ht="15.75" customHeight="1" x14ac:dyDescent="0.15">
      <c r="A20" s="4" t="str">
        <f t="shared" si="0"/>
        <v>Sela - Bid met mij</v>
      </c>
      <c r="B20" s="4" t="s">
        <v>62</v>
      </c>
    </row>
    <row r="21" spans="1:2" ht="15.75" customHeight="1" x14ac:dyDescent="0.15">
      <c r="A21" s="4" t="str">
        <f t="shared" si="0"/>
        <v>Sela - Bij U is de bron (Psalm 36)</v>
      </c>
      <c r="B21" s="4" t="s">
        <v>64</v>
      </c>
    </row>
    <row r="22" spans="1:2" ht="15.75" customHeight="1" x14ac:dyDescent="0.15">
      <c r="A22" s="4" t="str">
        <f t="shared" si="0"/>
        <v>Sela - Blijf in mij</v>
      </c>
      <c r="B22" s="4" t="s">
        <v>65</v>
      </c>
    </row>
    <row r="23" spans="1:2" ht="15.75" customHeight="1" x14ac:dyDescent="0.15">
      <c r="A23" s="4" t="str">
        <f t="shared" si="0"/>
        <v>Sela - Breng ons samen</v>
      </c>
      <c r="B23" s="4" t="s">
        <v>67</v>
      </c>
    </row>
    <row r="24" spans="1:2" ht="15.75" customHeight="1" x14ac:dyDescent="0.15">
      <c r="A24" s="4" t="str">
        <f t="shared" si="0"/>
        <v>Sela - Daar juicht een toon</v>
      </c>
      <c r="B24" s="4" t="s">
        <v>69</v>
      </c>
    </row>
    <row r="25" spans="1:2" ht="15.75" customHeight="1" x14ac:dyDescent="0.15">
      <c r="A25" s="4" t="str">
        <f t="shared" si="0"/>
        <v>Sela - Dageraad</v>
      </c>
      <c r="B25" s="4" t="s">
        <v>71</v>
      </c>
    </row>
    <row r="26" spans="1:2" ht="15.75" customHeight="1" x14ac:dyDescent="0.15">
      <c r="A26" s="4" t="str">
        <f t="shared" si="0"/>
        <v>Sela - Dank U Heer</v>
      </c>
      <c r="B26" s="4" t="s">
        <v>72</v>
      </c>
    </row>
    <row r="27" spans="1:2" ht="15.75" customHeight="1" x14ac:dyDescent="0.15">
      <c r="A27" s="4" t="str">
        <f t="shared" si="0"/>
        <v>Sela - Danklied</v>
      </c>
      <c r="B27" s="4" t="s">
        <v>74</v>
      </c>
    </row>
    <row r="28" spans="1:2" ht="15.75" customHeight="1" x14ac:dyDescent="0.15">
      <c r="A28" s="4" t="str">
        <f t="shared" si="0"/>
        <v>Sela - De Gastheer nodigt</v>
      </c>
      <c r="B28" s="4" t="s">
        <v>75</v>
      </c>
    </row>
    <row r="29" spans="1:2" ht="15.75" customHeight="1" x14ac:dyDescent="0.15">
      <c r="A29" s="4" t="str">
        <f t="shared" si="0"/>
        <v>Sela - De Naam van onze God</v>
      </c>
      <c r="B29" s="4" t="s">
        <v>77</v>
      </c>
    </row>
    <row r="30" spans="1:2" ht="15.75" customHeight="1" x14ac:dyDescent="0.15">
      <c r="A30" s="4" t="str">
        <f t="shared" si="0"/>
        <v>Sela - De dag van de Heer</v>
      </c>
      <c r="B30" s="4" t="s">
        <v>78</v>
      </c>
    </row>
    <row r="31" spans="1:2" ht="15.75" customHeight="1" x14ac:dyDescent="0.15">
      <c r="A31" s="4" t="str">
        <f t="shared" si="0"/>
        <v>Sela - De mensen die we missen</v>
      </c>
      <c r="B31" s="4" t="s">
        <v>80</v>
      </c>
    </row>
    <row r="32" spans="1:2" ht="15.75" customHeight="1" x14ac:dyDescent="0.15">
      <c r="A32" s="4" t="str">
        <f t="shared" si="0"/>
        <v>Sela - De minsten van de mensen</v>
      </c>
      <c r="B32" s="4" t="s">
        <v>81</v>
      </c>
    </row>
    <row r="33" spans="1:2" ht="15.75" customHeight="1" x14ac:dyDescent="0.15">
      <c r="A33" s="4" t="str">
        <f t="shared" si="0"/>
        <v>Sela - De wind steekt op</v>
      </c>
      <c r="B33" s="4" t="s">
        <v>83</v>
      </c>
    </row>
    <row r="34" spans="1:2" ht="15.75" customHeight="1" x14ac:dyDescent="0.15">
      <c r="A34" s="4" t="str">
        <f t="shared" si="0"/>
        <v>Sela - Die Menschen, die wir vermissen</v>
      </c>
      <c r="B34" s="4" t="s">
        <v>85</v>
      </c>
    </row>
    <row r="35" spans="1:2" ht="15.75" customHeight="1" x14ac:dyDescent="0.15">
      <c r="A35" s="4" t="str">
        <f t="shared" si="0"/>
        <v>Sela - Dit kind is onze koning</v>
      </c>
      <c r="B35" s="4" t="s">
        <v>87</v>
      </c>
    </row>
    <row r="36" spans="1:2" ht="15.75" customHeight="1" x14ac:dyDescent="0.15">
      <c r="A36" s="4" t="str">
        <f t="shared" si="0"/>
        <v>Sela - Doop</v>
      </c>
      <c r="B36" s="4" t="s">
        <v>89</v>
      </c>
    </row>
    <row r="37" spans="1:2" ht="15.75" customHeight="1" x14ac:dyDescent="0.15">
      <c r="A37" s="4" t="str">
        <f t="shared" si="0"/>
        <v>Sela - Door Hem volbracht</v>
      </c>
      <c r="B37" s="4" t="s">
        <v>90</v>
      </c>
    </row>
    <row r="38" spans="1:2" ht="15.75" customHeight="1" x14ac:dyDescent="0.15">
      <c r="A38" s="4" t="str">
        <f t="shared" si="0"/>
        <v>Sela - Doxology</v>
      </c>
      <c r="B38" s="4" t="s">
        <v>91</v>
      </c>
    </row>
    <row r="39" spans="1:2" ht="15.75" customHeight="1" x14ac:dyDescent="0.15">
      <c r="A39" s="4" t="str">
        <f t="shared" si="0"/>
        <v>Sela - Een kind is ons geboren</v>
      </c>
      <c r="B39" s="4" t="s">
        <v>93</v>
      </c>
    </row>
    <row r="40" spans="1:2" ht="15.75" customHeight="1" x14ac:dyDescent="0.15">
      <c r="A40" s="4" t="str">
        <f t="shared" si="0"/>
        <v>Sela - Een toekomst vol van hoop</v>
      </c>
      <c r="B40" s="4" t="s">
        <v>94</v>
      </c>
    </row>
    <row r="41" spans="1:2" ht="15.75" customHeight="1" x14ac:dyDescent="0.15">
      <c r="A41" s="4" t="str">
        <f t="shared" si="0"/>
        <v>Sela - Een weg naar U</v>
      </c>
      <c r="B41" s="4" t="s">
        <v>95</v>
      </c>
    </row>
    <row r="42" spans="1:2" ht="15.75" customHeight="1" x14ac:dyDescent="0.15">
      <c r="A42" s="4" t="str">
        <f t="shared" si="0"/>
        <v>Sela - Eindelijk hier</v>
      </c>
      <c r="B42" s="4" t="s">
        <v>96</v>
      </c>
    </row>
    <row r="43" spans="1:2" ht="15.75" customHeight="1" x14ac:dyDescent="0.15">
      <c r="A43" s="4" t="str">
        <f t="shared" si="0"/>
        <v>Sela - Emmaüs</v>
      </c>
      <c r="B43" s="4" t="s">
        <v>97</v>
      </c>
    </row>
    <row r="44" spans="1:2" ht="15.75" customHeight="1" x14ac:dyDescent="0.15">
      <c r="A44" s="4" t="str">
        <f t="shared" si="0"/>
        <v>Sela - Er is een roos ontloken</v>
      </c>
      <c r="B44" s="4" t="s">
        <v>98</v>
      </c>
    </row>
    <row r="45" spans="1:2" ht="15.75" customHeight="1" x14ac:dyDescent="0.15">
      <c r="A45" s="4" t="str">
        <f t="shared" si="0"/>
        <v>Sela - Ere zij God</v>
      </c>
      <c r="B45" s="4" t="s">
        <v>100</v>
      </c>
    </row>
    <row r="46" spans="1:2" ht="15.75" customHeight="1" x14ac:dyDescent="0.15">
      <c r="A46" s="4" t="str">
        <f t="shared" si="0"/>
        <v>Sela - Eén woord is genoeg</v>
      </c>
      <c r="B46" s="4" t="s">
        <v>102</v>
      </c>
    </row>
    <row r="47" spans="1:2" ht="15.75" customHeight="1" x14ac:dyDescent="0.15">
      <c r="A47" s="4" t="str">
        <f t="shared" si="0"/>
        <v>Sela - Feestgedruis</v>
      </c>
      <c r="B47" s="4" t="s">
        <v>104</v>
      </c>
    </row>
    <row r="48" spans="1:2" ht="15.75" customHeight="1" x14ac:dyDescent="0.15">
      <c r="A48" s="4" t="str">
        <f t="shared" si="0"/>
        <v>Sela - Gaudete (Wij verheugen ons)</v>
      </c>
      <c r="B48" s="4" t="s">
        <v>106</v>
      </c>
    </row>
    <row r="49" spans="1:2" ht="15.75" customHeight="1" x14ac:dyDescent="0.15">
      <c r="A49" s="4" t="str">
        <f t="shared" si="0"/>
        <v>Sela - Gebed om hulp</v>
      </c>
      <c r="B49" s="4" t="s">
        <v>107</v>
      </c>
    </row>
    <row r="50" spans="1:2" ht="15.75" customHeight="1" x14ac:dyDescent="0.15">
      <c r="A50" s="4" t="str">
        <f t="shared" si="0"/>
        <v>Sela - Gebed om vergeving</v>
      </c>
      <c r="B50" s="4" t="s">
        <v>110</v>
      </c>
    </row>
    <row r="51" spans="1:2" ht="15.75" customHeight="1" x14ac:dyDescent="0.15">
      <c r="A51" s="4" t="str">
        <f t="shared" si="0"/>
        <v>Sela - Gebed om vrijheid</v>
      </c>
      <c r="B51" s="4" t="s">
        <v>112</v>
      </c>
    </row>
    <row r="52" spans="1:2" ht="15.75" customHeight="1" x14ac:dyDescent="0.15">
      <c r="A52" s="4" t="str">
        <f t="shared" si="0"/>
        <v>Sela - Gebed om zegen</v>
      </c>
      <c r="B52" s="4" t="s">
        <v>114</v>
      </c>
    </row>
    <row r="53" spans="1:2" ht="15.75" customHeight="1" x14ac:dyDescent="0.15">
      <c r="A53" s="4" t="str">
        <f t="shared" si="0"/>
        <v>Sela - Gebed voor de werkdag</v>
      </c>
      <c r="B53" s="4" t="s">
        <v>115</v>
      </c>
    </row>
    <row r="54" spans="1:2" ht="15.75" customHeight="1" x14ac:dyDescent="0.15">
      <c r="A54" s="4" t="str">
        <f t="shared" si="0"/>
        <v>Sela - Geef ons vrede</v>
      </c>
      <c r="B54" s="4" t="s">
        <v>117</v>
      </c>
    </row>
    <row r="55" spans="1:2" ht="13" x14ac:dyDescent="0.15">
      <c r="A55" s="4" t="str">
        <f t="shared" si="0"/>
        <v>Sela - Geef ons vrede (dona nobis)</v>
      </c>
      <c r="B55" s="4" t="s">
        <v>118</v>
      </c>
    </row>
    <row r="56" spans="1:2" ht="13" x14ac:dyDescent="0.15">
      <c r="A56" s="4" t="str">
        <f t="shared" si="0"/>
        <v>Sela - Geef vrede</v>
      </c>
      <c r="B56" s="4" t="s">
        <v>119</v>
      </c>
    </row>
    <row r="57" spans="1:2" ht="13" x14ac:dyDescent="0.15">
      <c r="A57" s="4" t="str">
        <f t="shared" si="0"/>
        <v>Sela - Geen plek waar U niet bent</v>
      </c>
      <c r="B57" s="4" t="s">
        <v>120</v>
      </c>
    </row>
    <row r="58" spans="1:2" ht="13" x14ac:dyDescent="0.15">
      <c r="A58" s="4" t="str">
        <f t="shared" si="0"/>
        <v>Sela - Geen zorgen</v>
      </c>
      <c r="B58" s="4" t="s">
        <v>122</v>
      </c>
    </row>
    <row r="59" spans="1:2" ht="13" x14ac:dyDescent="0.15">
      <c r="A59" s="4" t="str">
        <f t="shared" si="0"/>
        <v>Sela - Geest van waarheid en genade</v>
      </c>
      <c r="B59" s="4" t="s">
        <v>124</v>
      </c>
    </row>
    <row r="60" spans="1:2" ht="13" x14ac:dyDescent="0.15">
      <c r="A60" s="4" t="str">
        <f t="shared" si="0"/>
        <v>Sela - Gehuld in de stilte</v>
      </c>
      <c r="B60" s="4" t="s">
        <v>125</v>
      </c>
    </row>
    <row r="61" spans="1:2" ht="13" x14ac:dyDescent="0.15">
      <c r="A61" s="4" t="str">
        <f t="shared" si="0"/>
        <v>Sela - Getsemane</v>
      </c>
      <c r="B61" s="4" t="s">
        <v>127</v>
      </c>
    </row>
    <row r="62" spans="1:2" ht="13" x14ac:dyDescent="0.15">
      <c r="A62" s="4" t="str">
        <f t="shared" si="0"/>
        <v>Sela - Getuig</v>
      </c>
      <c r="B62" s="4" t="s">
        <v>129</v>
      </c>
    </row>
    <row r="63" spans="1:2" ht="13" x14ac:dyDescent="0.15">
      <c r="A63" s="4" t="str">
        <f t="shared" si="0"/>
        <v>Sela - Gezegend bent U, Heer</v>
      </c>
      <c r="B63" s="4" t="s">
        <v>130</v>
      </c>
    </row>
    <row r="64" spans="1:2" ht="13" x14ac:dyDescent="0.15">
      <c r="A64" s="4" t="str">
        <f t="shared" si="0"/>
        <v>Sela - Gezegend is de Vader</v>
      </c>
      <c r="B64" s="4" t="s">
        <v>132</v>
      </c>
    </row>
    <row r="65" spans="1:2" ht="13" x14ac:dyDescent="0.15">
      <c r="A65" s="4" t="str">
        <f t="shared" si="0"/>
        <v>Sela - Glorie aan God</v>
      </c>
      <c r="B65" s="4" t="s">
        <v>134</v>
      </c>
    </row>
    <row r="66" spans="1:2" ht="13" x14ac:dyDescent="0.15">
      <c r="A66" s="4" t="str">
        <f t="shared" si="0"/>
        <v>Sela - Glorie heeft een Naam</v>
      </c>
      <c r="B66" s="4" t="s">
        <v>135</v>
      </c>
    </row>
    <row r="67" spans="1:2" ht="13" x14ac:dyDescent="0.15">
      <c r="A67" s="4" t="str">
        <f t="shared" si="0"/>
        <v>Sela - God U bent mijn God</v>
      </c>
      <c r="B67" s="4" t="s">
        <v>137</v>
      </c>
    </row>
    <row r="68" spans="1:2" ht="13" x14ac:dyDescent="0.15">
      <c r="A68" s="4" t="str">
        <f t="shared" si="0"/>
        <v>Sela - God is in ons midden</v>
      </c>
      <c r="B68" s="4" t="s">
        <v>139</v>
      </c>
    </row>
    <row r="69" spans="1:2" ht="13" x14ac:dyDescent="0.15">
      <c r="A69" s="4" t="str">
        <f t="shared" si="0"/>
        <v>Sela - God is overal</v>
      </c>
      <c r="B69" s="4" t="s">
        <v>141</v>
      </c>
    </row>
    <row r="70" spans="1:2" ht="13" x14ac:dyDescent="0.15">
      <c r="A70" s="4" t="str">
        <f t="shared" si="0"/>
        <v>Sela - God keert alles om</v>
      </c>
      <c r="B70" s="4" t="s">
        <v>143</v>
      </c>
    </row>
    <row r="71" spans="1:2" ht="13" x14ac:dyDescent="0.15">
      <c r="A71" s="4" t="str">
        <f t="shared" si="0"/>
        <v>Sela - God roept ons</v>
      </c>
      <c r="B71" s="4" t="s">
        <v>144</v>
      </c>
    </row>
    <row r="72" spans="1:2" ht="13" x14ac:dyDescent="0.15">
      <c r="A72" s="4" t="str">
        <f t="shared" si="0"/>
        <v>Sela - God van leven</v>
      </c>
      <c r="B72" s="4" t="s">
        <v>146</v>
      </c>
    </row>
    <row r="73" spans="1:2" ht="13" x14ac:dyDescent="0.15">
      <c r="A73" s="4" t="str">
        <f t="shared" si="0"/>
        <v>Sela - God zal om ons juichen</v>
      </c>
      <c r="B73" s="4" t="s">
        <v>148</v>
      </c>
    </row>
    <row r="74" spans="1:2" ht="13" x14ac:dyDescent="0.15">
      <c r="A74" s="4" t="str">
        <f t="shared" si="0"/>
        <v>Sela - God zal voor ons zorgen</v>
      </c>
      <c r="B74" s="4" t="s">
        <v>149</v>
      </c>
    </row>
    <row r="75" spans="1:2" ht="13" x14ac:dyDescent="0.15">
      <c r="A75" s="4" t="str">
        <f t="shared" si="0"/>
        <v>Sela - Gods verhaal gaat door</v>
      </c>
      <c r="B75" s="4" t="s">
        <v>151</v>
      </c>
    </row>
    <row r="76" spans="1:2" ht="13" x14ac:dyDescent="0.15">
      <c r="A76" s="4" t="str">
        <f t="shared" si="0"/>
        <v>Sela - Gods zegen voor jou</v>
      </c>
      <c r="B76" s="4" t="s">
        <v>153</v>
      </c>
    </row>
    <row r="77" spans="1:2" ht="13" x14ac:dyDescent="0.15">
      <c r="A77" s="4" t="str">
        <f t="shared" si="0"/>
        <v>Sela - Goed om hier te zijn</v>
      </c>
      <c r="B77" s="4" t="s">
        <v>154</v>
      </c>
    </row>
    <row r="78" spans="1:2" ht="13" x14ac:dyDescent="0.15">
      <c r="A78" s="4" t="str">
        <f t="shared" si="0"/>
        <v>Sela - Halleluja eeuwig dank en ere</v>
      </c>
      <c r="B78" s="4" t="s">
        <v>156</v>
      </c>
    </row>
    <row r="79" spans="1:2" ht="13" x14ac:dyDescent="0.15">
      <c r="A79" s="4" t="str">
        <f t="shared" si="0"/>
        <v>Sela - Halleluja voor de eeuwige</v>
      </c>
      <c r="B79" s="4" t="s">
        <v>158</v>
      </c>
    </row>
    <row r="80" spans="1:2" ht="13" x14ac:dyDescent="0.15">
      <c r="A80" s="4" t="str">
        <f t="shared" si="0"/>
        <v>Sela - Hard geslagen vastgenageld</v>
      </c>
      <c r="B80" s="4" t="s">
        <v>160</v>
      </c>
    </row>
    <row r="81" spans="1:2" ht="13" x14ac:dyDescent="0.15">
      <c r="A81" s="4" t="str">
        <f t="shared" si="0"/>
        <v>Sela - Heel mijn hart</v>
      </c>
      <c r="B81" s="4" t="s">
        <v>161</v>
      </c>
    </row>
    <row r="82" spans="1:2" ht="13" x14ac:dyDescent="0.15">
      <c r="A82" s="4" t="str">
        <f t="shared" si="0"/>
        <v>Sela - Heel uw koninkrijk</v>
      </c>
      <c r="B82" s="4" t="s">
        <v>162</v>
      </c>
    </row>
    <row r="83" spans="1:2" ht="13" x14ac:dyDescent="0.15">
      <c r="A83" s="4" t="str">
        <f t="shared" si="0"/>
        <v>Sela - Heer ontferm U over ons</v>
      </c>
      <c r="B83" s="4" t="s">
        <v>164</v>
      </c>
    </row>
    <row r="84" spans="1:2" ht="13" x14ac:dyDescent="0.15">
      <c r="A84" s="4" t="str">
        <f t="shared" si="0"/>
        <v>Sela - Heer ontferm U over ons</v>
      </c>
      <c r="B84" s="4" t="s">
        <v>164</v>
      </c>
    </row>
    <row r="85" spans="1:2" ht="13" x14ac:dyDescent="0.15">
      <c r="A85" s="4" t="str">
        <f t="shared" si="0"/>
        <v>Sela - Heer wees om mij heen</v>
      </c>
      <c r="B85" s="4" t="s">
        <v>166</v>
      </c>
    </row>
    <row r="86" spans="1:2" ht="13" x14ac:dyDescent="0.15">
      <c r="A86" s="4" t="str">
        <f t="shared" si="0"/>
        <v>Sela - Heer wijs mij uw weg</v>
      </c>
      <c r="B86" s="4" t="s">
        <v>167</v>
      </c>
    </row>
    <row r="87" spans="1:2" ht="13" x14ac:dyDescent="0.15">
      <c r="A87" s="4" t="str">
        <f t="shared" si="0"/>
        <v>Sela - Heer, U bent</v>
      </c>
      <c r="B87" s="4" t="s">
        <v>168</v>
      </c>
    </row>
    <row r="88" spans="1:2" ht="13" x14ac:dyDescent="0.15">
      <c r="A88" s="4" t="str">
        <f t="shared" si="0"/>
        <v>Sela - Heer, we kijken omhoog</v>
      </c>
      <c r="B88" s="4" t="s">
        <v>170</v>
      </c>
    </row>
    <row r="89" spans="1:2" ht="13" x14ac:dyDescent="0.15">
      <c r="A89" s="4" t="str">
        <f t="shared" si="0"/>
        <v>Sela - Heilige grond</v>
      </c>
      <c r="B89" s="4" t="s">
        <v>172</v>
      </c>
    </row>
    <row r="90" spans="1:2" ht="13" x14ac:dyDescent="0.15">
      <c r="A90" s="4" t="str">
        <f t="shared" si="0"/>
        <v>Sela - Hemelse gave</v>
      </c>
      <c r="B90" s="4" t="s">
        <v>173</v>
      </c>
    </row>
    <row r="91" spans="1:2" ht="13" x14ac:dyDescent="0.15">
      <c r="A91" s="4" t="str">
        <f t="shared" si="0"/>
        <v>Sela - Het Woord van God</v>
      </c>
      <c r="B91" s="4" t="s">
        <v>175</v>
      </c>
    </row>
    <row r="92" spans="1:2" ht="13" x14ac:dyDescent="0.15">
      <c r="A92" s="4" t="str">
        <f t="shared" si="0"/>
        <v>Sela - Het mooiste lied</v>
      </c>
      <c r="B92" s="4" t="s">
        <v>177</v>
      </c>
    </row>
    <row r="93" spans="1:2" ht="13" x14ac:dyDescent="0.15">
      <c r="A93" s="4" t="str">
        <f t="shared" si="0"/>
        <v>Sela - Hier ben ik Heer</v>
      </c>
      <c r="B93" s="4" t="s">
        <v>179</v>
      </c>
    </row>
    <row r="94" spans="1:2" ht="13" x14ac:dyDescent="0.15">
      <c r="A94" s="4" t="str">
        <f t="shared" si="0"/>
        <v>Sela - Hier is rust</v>
      </c>
      <c r="B94" s="4" t="s">
        <v>181</v>
      </c>
    </row>
    <row r="95" spans="1:2" ht="13" x14ac:dyDescent="0.15">
      <c r="A95" s="4" t="str">
        <f t="shared" si="0"/>
        <v>Sela - Hij is Koning</v>
      </c>
      <c r="B95" s="4" t="s">
        <v>184</v>
      </c>
    </row>
    <row r="96" spans="1:2" ht="13" x14ac:dyDescent="0.15">
      <c r="A96" s="4" t="str">
        <f t="shared" si="0"/>
        <v>Sela - Hoe machtig is uw naam</v>
      </c>
      <c r="B96" s="4" t="s">
        <v>185</v>
      </c>
    </row>
    <row r="97" spans="1:2" ht="13" x14ac:dyDescent="0.15">
      <c r="A97" s="4" t="str">
        <f t="shared" si="0"/>
        <v>Sela - Hoor de engelen zingen d'eer</v>
      </c>
      <c r="B97" s="4" t="s">
        <v>186</v>
      </c>
    </row>
    <row r="98" spans="1:2" ht="13" x14ac:dyDescent="0.15">
      <c r="A98" s="4" t="str">
        <f t="shared" si="0"/>
        <v>Sela - Hoor mijn gebed</v>
      </c>
      <c r="B98" s="4" t="s">
        <v>188</v>
      </c>
    </row>
    <row r="99" spans="1:2" ht="13" x14ac:dyDescent="0.15">
      <c r="A99" s="4" t="str">
        <f t="shared" si="0"/>
        <v>Sela - Houd mij vast</v>
      </c>
      <c r="B99" s="4" t="s">
        <v>190</v>
      </c>
    </row>
    <row r="100" spans="1:2" ht="13" x14ac:dyDescent="0.15">
      <c r="A100" s="4" t="str">
        <f t="shared" si="0"/>
        <v>Sela - Huis van vrede</v>
      </c>
      <c r="B100" s="4" t="s">
        <v>192</v>
      </c>
    </row>
    <row r="101" spans="1:2" ht="13" x14ac:dyDescent="0.15">
      <c r="A101" s="4" t="str">
        <f t="shared" si="0"/>
        <v>Sela - I will be there</v>
      </c>
      <c r="B101" s="4" t="s">
        <v>194</v>
      </c>
    </row>
    <row r="102" spans="1:2" ht="13" x14ac:dyDescent="0.15">
      <c r="A102" s="4" t="str">
        <f t="shared" si="0"/>
        <v>Sela - Iedere nacht</v>
      </c>
      <c r="B102" s="4" t="s">
        <v>196</v>
      </c>
    </row>
    <row r="103" spans="1:2" ht="13" x14ac:dyDescent="0.15">
      <c r="A103" s="4" t="str">
        <f t="shared" si="0"/>
        <v>Sela - Ik ben</v>
      </c>
      <c r="B103" s="4" t="s">
        <v>197</v>
      </c>
    </row>
    <row r="104" spans="1:2" ht="13" x14ac:dyDescent="0.15">
      <c r="A104" s="4" t="str">
        <f t="shared" si="0"/>
        <v>Sela - Ik leef</v>
      </c>
      <c r="B104" s="4" t="s">
        <v>198</v>
      </c>
    </row>
    <row r="105" spans="1:2" ht="13" x14ac:dyDescent="0.15">
      <c r="A105" s="4" t="str">
        <f t="shared" si="0"/>
        <v>Sela - Ik wil komen en knielen</v>
      </c>
      <c r="B105" s="4" t="s">
        <v>199</v>
      </c>
    </row>
    <row r="106" spans="1:2" ht="13" x14ac:dyDescent="0.15">
      <c r="A106" s="4" t="str">
        <f t="shared" si="0"/>
        <v>Sela - Ik zal er zijn</v>
      </c>
      <c r="B106" s="4" t="s">
        <v>200</v>
      </c>
    </row>
    <row r="107" spans="1:2" ht="13" x14ac:dyDescent="0.15">
      <c r="A107" s="4" t="str">
        <f t="shared" si="0"/>
        <v>Sela - In Jezus naam</v>
      </c>
      <c r="B107" s="4" t="s">
        <v>201</v>
      </c>
    </row>
    <row r="108" spans="1:2" ht="13" x14ac:dyDescent="0.15">
      <c r="A108" s="4" t="str">
        <f t="shared" si="0"/>
        <v>Sela - In alles</v>
      </c>
      <c r="B108" s="4" t="s">
        <v>202</v>
      </c>
    </row>
    <row r="109" spans="1:2" ht="13" x14ac:dyDescent="0.15">
      <c r="A109" s="4" t="str">
        <f t="shared" si="0"/>
        <v>Sela - In de morgen</v>
      </c>
      <c r="B109" s="4" t="s">
        <v>203</v>
      </c>
    </row>
    <row r="110" spans="1:2" ht="13" x14ac:dyDescent="0.15">
      <c r="A110" s="4" t="str">
        <f t="shared" si="0"/>
        <v>Sela - In deze stilte</v>
      </c>
      <c r="B110" s="4" t="s">
        <v>204</v>
      </c>
    </row>
    <row r="111" spans="1:2" ht="13" x14ac:dyDescent="0.15">
      <c r="A111" s="4" t="str">
        <f t="shared" si="0"/>
        <v>Sela - In het licht</v>
      </c>
      <c r="B111" s="4" t="s">
        <v>205</v>
      </c>
    </row>
    <row r="112" spans="1:2" ht="13" x14ac:dyDescent="0.15">
      <c r="A112" s="4" t="str">
        <f t="shared" si="0"/>
        <v>Sela - In ons hart geboren</v>
      </c>
      <c r="B112" s="4" t="s">
        <v>206</v>
      </c>
    </row>
    <row r="113" spans="1:2" ht="13" x14ac:dyDescent="0.15">
      <c r="A113" s="4" t="str">
        <f t="shared" si="0"/>
        <v>Sela - J</v>
      </c>
      <c r="B113" s="4" t="s">
        <v>207</v>
      </c>
    </row>
    <row r="114" spans="1:2" ht="13" x14ac:dyDescent="0.15">
      <c r="A114" s="4" t="str">
        <f t="shared" si="0"/>
        <v>Sela - Jezus alleen / Hij is de rots</v>
      </c>
      <c r="B114" s="4" t="s">
        <v>208</v>
      </c>
    </row>
    <row r="115" spans="1:2" ht="13" x14ac:dyDescent="0.15">
      <c r="A115" s="4" t="str">
        <f t="shared" si="0"/>
        <v>Sela - Jezus is Heer</v>
      </c>
      <c r="B115" s="4" t="s">
        <v>209</v>
      </c>
    </row>
    <row r="116" spans="1:2" ht="13" x14ac:dyDescent="0.15">
      <c r="A116" s="4" t="str">
        <f t="shared" si="0"/>
        <v>Sela - Jezus leidt Zijn kerk</v>
      </c>
      <c r="B116" s="4" t="s">
        <v>210</v>
      </c>
    </row>
    <row r="117" spans="1:2" ht="13" x14ac:dyDescent="0.15">
      <c r="A117" s="4" t="str">
        <f t="shared" si="0"/>
        <v>Sela - Jezus liefde voor mij</v>
      </c>
      <c r="B117" s="4" t="s">
        <v>211</v>
      </c>
    </row>
    <row r="118" spans="1:2" ht="13" x14ac:dyDescent="0.15">
      <c r="A118" s="4" t="str">
        <f t="shared" si="0"/>
        <v>Sela - Jezus, U bent bij ons</v>
      </c>
      <c r="B118" s="4" t="s">
        <v>212</v>
      </c>
    </row>
    <row r="119" spans="1:2" ht="13" x14ac:dyDescent="0.15">
      <c r="A119" s="4" t="str">
        <f t="shared" si="0"/>
        <v>Sela - Juich, hosanna</v>
      </c>
      <c r="B119" s="4" t="s">
        <v>213</v>
      </c>
    </row>
    <row r="120" spans="1:2" ht="13" x14ac:dyDescent="0.15">
      <c r="A120" s="4" t="str">
        <f t="shared" si="0"/>
        <v>Sela - Juicht / Hij is verheerlijkt</v>
      </c>
      <c r="B120" s="4" t="s">
        <v>214</v>
      </c>
    </row>
    <row r="121" spans="1:2" ht="13" x14ac:dyDescent="0.15">
      <c r="A121" s="4" t="str">
        <f t="shared" si="0"/>
        <v>Sela - Ken mijn hart</v>
      </c>
      <c r="B121" s="4" t="s">
        <v>215</v>
      </c>
    </row>
    <row r="122" spans="1:2" ht="13" x14ac:dyDescent="0.15">
      <c r="A122" s="4" t="str">
        <f t="shared" si="0"/>
        <v>Sela - Kerstnacht boven Bethlehem</v>
      </c>
      <c r="B122" s="4" t="s">
        <v>216</v>
      </c>
    </row>
    <row r="123" spans="1:2" ht="13" x14ac:dyDescent="0.15">
      <c r="A123" s="4" t="str">
        <f t="shared" si="0"/>
        <v>Sela - Klaaglied</v>
      </c>
      <c r="B123" s="4" t="s">
        <v>217</v>
      </c>
    </row>
    <row r="124" spans="1:2" ht="13" x14ac:dyDescent="0.15">
      <c r="A124" s="4" t="str">
        <f t="shared" si="0"/>
        <v>Sela - Klein Gloria (Gloria Patri)</v>
      </c>
      <c r="B124" s="4" t="s">
        <v>218</v>
      </c>
    </row>
    <row r="125" spans="1:2" ht="13" x14ac:dyDescent="0.15">
      <c r="A125" s="4" t="str">
        <f t="shared" si="0"/>
        <v>Sela - Kom Heilige Geest</v>
      </c>
      <c r="B125" s="4" t="s">
        <v>219</v>
      </c>
    </row>
    <row r="126" spans="1:2" ht="13" x14ac:dyDescent="0.15">
      <c r="A126" s="4" t="str">
        <f t="shared" si="0"/>
        <v>Sela - Kom met vrede</v>
      </c>
      <c r="B126" s="4" t="s">
        <v>220</v>
      </c>
    </row>
    <row r="127" spans="1:2" ht="13" x14ac:dyDescent="0.15">
      <c r="A127" s="4" t="str">
        <f t="shared" si="0"/>
        <v>Sela - Kom tot Hem</v>
      </c>
      <c r="B127" s="4" t="s">
        <v>221</v>
      </c>
    </row>
    <row r="128" spans="1:2" ht="13" x14ac:dyDescent="0.15">
      <c r="A128" s="4" t="str">
        <f t="shared" si="0"/>
        <v>Sela - Kom tot ons, Heer (adventsgebed)</v>
      </c>
      <c r="B128" s="4" t="s">
        <v>222</v>
      </c>
    </row>
    <row r="129" spans="1:2" ht="13" x14ac:dyDescent="0.15">
      <c r="A129" s="4" t="str">
        <f t="shared" si="0"/>
        <v>Sela - Kom tot ons, de wereld wacht</v>
      </c>
      <c r="B129" s="4" t="s">
        <v>223</v>
      </c>
    </row>
    <row r="130" spans="1:2" ht="13" x14ac:dyDescent="0.15">
      <c r="A130" s="4" t="str">
        <f t="shared" si="0"/>
        <v>Sela - Kom, vier het feest met mij</v>
      </c>
      <c r="B130" s="4" t="s">
        <v>224</v>
      </c>
    </row>
    <row r="131" spans="1:2" ht="13" x14ac:dyDescent="0.15">
      <c r="A131" s="4" t="str">
        <f t="shared" si="0"/>
        <v>Sela - Komt allen tezamen</v>
      </c>
      <c r="B131" s="4" t="s">
        <v>225</v>
      </c>
    </row>
    <row r="132" spans="1:2" ht="13" x14ac:dyDescent="0.15">
      <c r="A132" s="4" t="str">
        <f t="shared" si="0"/>
        <v>Sela - Kyrie</v>
      </c>
      <c r="B132" s="4" t="s">
        <v>226</v>
      </c>
    </row>
    <row r="133" spans="1:2" ht="13" x14ac:dyDescent="0.15">
      <c r="A133" s="4" t="str">
        <f t="shared" si="0"/>
        <v>Sela - Kyrie Eleison</v>
      </c>
      <c r="B133" s="4" t="s">
        <v>227</v>
      </c>
    </row>
    <row r="134" spans="1:2" ht="13" x14ac:dyDescent="0.15">
      <c r="A134" s="4" t="str">
        <f t="shared" si="0"/>
        <v>Sela - Laat ons samen een zijn</v>
      </c>
      <c r="B134" s="4" t="s">
        <v>228</v>
      </c>
    </row>
    <row r="135" spans="1:2" ht="13" x14ac:dyDescent="0.15">
      <c r="A135" s="4" t="str">
        <f t="shared" si="0"/>
        <v>Sela - Leer mij geven</v>
      </c>
      <c r="B135" s="4" t="s">
        <v>229</v>
      </c>
    </row>
    <row r="136" spans="1:2" ht="13" x14ac:dyDescent="0.15">
      <c r="A136" s="4" t="str">
        <f t="shared" si="0"/>
        <v>Sela - Leer mij, o Heer, uw lijden</v>
      </c>
      <c r="B136" s="4" t="s">
        <v>230</v>
      </c>
    </row>
    <row r="137" spans="1:2" ht="13" x14ac:dyDescent="0.15">
      <c r="A137" s="4" t="str">
        <f t="shared" si="0"/>
        <v>Sela - Liefste Jezus</v>
      </c>
      <c r="B137" s="4" t="s">
        <v>231</v>
      </c>
    </row>
    <row r="138" spans="1:2" ht="13" x14ac:dyDescent="0.15">
      <c r="A138" s="4" t="str">
        <f t="shared" si="0"/>
        <v>Sela - Lof aanbidding</v>
      </c>
      <c r="B138" s="4" t="s">
        <v>232</v>
      </c>
    </row>
    <row r="139" spans="1:2" ht="13" x14ac:dyDescent="0.15">
      <c r="A139" s="4" t="str">
        <f t="shared" si="0"/>
        <v>Sela - Machtig Strijder</v>
      </c>
      <c r="B139" s="4" t="s">
        <v>233</v>
      </c>
    </row>
    <row r="140" spans="1:2" ht="13" x14ac:dyDescent="0.15">
      <c r="A140" s="4" t="str">
        <f t="shared" si="0"/>
        <v>Sela - Machtig wonder</v>
      </c>
      <c r="B140" s="4" t="s">
        <v>234</v>
      </c>
    </row>
    <row r="141" spans="1:2" ht="13" x14ac:dyDescent="0.15">
      <c r="A141" s="4" t="str">
        <f t="shared" si="0"/>
        <v>Sela - Mag ik jou tot zegen zijn</v>
      </c>
      <c r="B141" s="4" t="s">
        <v>235</v>
      </c>
    </row>
    <row r="142" spans="1:2" ht="13" x14ac:dyDescent="0.15">
      <c r="A142" s="4" t="str">
        <f t="shared" si="0"/>
        <v>Sela - Magnificat</v>
      </c>
      <c r="B142" s="4" t="s">
        <v>236</v>
      </c>
    </row>
    <row r="143" spans="1:2" ht="13" x14ac:dyDescent="0.15">
      <c r="A143" s="4" t="str">
        <f t="shared" si="0"/>
        <v>Sela - Man van smarten</v>
      </c>
      <c r="B143" s="4" t="s">
        <v>237</v>
      </c>
    </row>
    <row r="144" spans="1:2" ht="13" x14ac:dyDescent="0.15">
      <c r="A144" s="4" t="str">
        <f t="shared" si="0"/>
        <v>Sela - Maranatha</v>
      </c>
      <c r="B144" s="4" t="s">
        <v>238</v>
      </c>
    </row>
    <row r="145" spans="1:2" ht="13" x14ac:dyDescent="0.15">
      <c r="A145" s="4" t="str">
        <f t="shared" si="0"/>
        <v>Sela - Maria, had je door</v>
      </c>
      <c r="B145" s="4" t="s">
        <v>239</v>
      </c>
    </row>
    <row r="146" spans="1:2" ht="13" x14ac:dyDescent="0.15">
      <c r="A146" s="4" t="str">
        <f t="shared" si="0"/>
        <v>Sela - Met U alleen</v>
      </c>
      <c r="B146" s="4" t="s">
        <v>240</v>
      </c>
    </row>
    <row r="147" spans="1:2" ht="13" x14ac:dyDescent="0.15">
      <c r="A147" s="4" t="str">
        <f t="shared" si="0"/>
        <v>Sela - Met een hart en stem</v>
      </c>
      <c r="B147" s="4" t="s">
        <v>241</v>
      </c>
    </row>
    <row r="148" spans="1:2" ht="13" x14ac:dyDescent="0.15">
      <c r="A148" s="4" t="str">
        <f t="shared" si="0"/>
        <v>Sela - Mijn Herder</v>
      </c>
      <c r="B148" s="4" t="s">
        <v>242</v>
      </c>
    </row>
    <row r="149" spans="1:2" ht="13" x14ac:dyDescent="0.15">
      <c r="A149" s="4" t="str">
        <f t="shared" si="0"/>
        <v>Sela - Mijn toevlucht (Psalm 91)</v>
      </c>
      <c r="B149" s="4" t="s">
        <v>243</v>
      </c>
    </row>
    <row r="150" spans="1:2" ht="13" x14ac:dyDescent="0.15">
      <c r="A150" s="4" t="str">
        <f t="shared" si="0"/>
        <v>Sela - Moeders van Bethlehem</v>
      </c>
      <c r="B150" s="4" t="s">
        <v>244</v>
      </c>
    </row>
    <row r="151" spans="1:2" ht="13" x14ac:dyDescent="0.15">
      <c r="A151" s="4" t="str">
        <f t="shared" si="0"/>
        <v>Sela - Naar het licht toe</v>
      </c>
      <c r="B151" s="4" t="s">
        <v>246</v>
      </c>
    </row>
    <row r="152" spans="1:2" ht="13" x14ac:dyDescent="0.15">
      <c r="A152" s="4" t="str">
        <f t="shared" si="0"/>
        <v>Sela - Nu laat U mij in vrede gaan</v>
      </c>
      <c r="B152" s="4" t="s">
        <v>247</v>
      </c>
    </row>
    <row r="153" spans="1:2" ht="13" x14ac:dyDescent="0.15">
      <c r="A153" s="4" t="str">
        <f t="shared" si="0"/>
        <v>Sela - O kindeke klein</v>
      </c>
      <c r="B153" s="4" t="s">
        <v>248</v>
      </c>
    </row>
    <row r="154" spans="1:2" ht="13" x14ac:dyDescent="0.15">
      <c r="A154" s="4" t="str">
        <f t="shared" si="0"/>
        <v>Sela - O kom nu en jubel</v>
      </c>
      <c r="B154" s="4" t="s">
        <v>249</v>
      </c>
    </row>
    <row r="155" spans="1:2" ht="13" x14ac:dyDescent="0.15">
      <c r="A155" s="4" t="str">
        <f t="shared" si="0"/>
        <v>Sela - O kom, o kom, Immanuël</v>
      </c>
      <c r="B155" s="4" t="s">
        <v>250</v>
      </c>
    </row>
    <row r="156" spans="1:2" ht="13" x14ac:dyDescent="0.15">
      <c r="A156" s="4" t="str">
        <f t="shared" si="0"/>
        <v>Sela - O mensen, kom</v>
      </c>
      <c r="B156" s="4" t="s">
        <v>251</v>
      </c>
    </row>
    <row r="157" spans="1:2" ht="13" x14ac:dyDescent="0.15">
      <c r="A157" s="4" t="str">
        <f t="shared" si="0"/>
        <v>Sela - One church</v>
      </c>
      <c r="B157" s="4" t="s">
        <v>252</v>
      </c>
    </row>
    <row r="158" spans="1:2" ht="13" x14ac:dyDescent="0.15">
      <c r="A158" s="4" t="str">
        <f t="shared" si="0"/>
        <v>Sela - Op U, mijn Heiland blijf ik hopen</v>
      </c>
      <c r="B158" s="4" t="s">
        <v>253</v>
      </c>
    </row>
    <row r="159" spans="1:2" ht="13" x14ac:dyDescent="0.15">
      <c r="A159" s="4" t="str">
        <f t="shared" si="0"/>
        <v>Sela - Opgestaan</v>
      </c>
      <c r="B159" s="4" t="s">
        <v>254</v>
      </c>
    </row>
    <row r="160" spans="1:2" ht="13" x14ac:dyDescent="0.15">
      <c r="A160" s="4" t="str">
        <f t="shared" si="0"/>
        <v>Sela - Ouverture Thuis</v>
      </c>
      <c r="B160" s="4" t="s">
        <v>255</v>
      </c>
    </row>
    <row r="161" spans="1:2" ht="13" x14ac:dyDescent="0.15">
      <c r="A161" s="4" t="str">
        <f t="shared" si="0"/>
        <v>Sela - Pad van de liefde</v>
      </c>
      <c r="B161" s="4" t="s">
        <v>257</v>
      </c>
    </row>
    <row r="162" spans="1:2" ht="13" x14ac:dyDescent="0.15">
      <c r="A162" s="4" t="str">
        <f t="shared" si="0"/>
        <v>Sela - Prelude</v>
      </c>
      <c r="B162" s="4" t="s">
        <v>258</v>
      </c>
    </row>
    <row r="163" spans="1:2" ht="13" x14ac:dyDescent="0.15">
      <c r="A163" s="4" t="str">
        <f t="shared" si="0"/>
        <v>Sela - Preludium</v>
      </c>
      <c r="B163" s="4" t="s">
        <v>259</v>
      </c>
    </row>
    <row r="164" spans="1:2" ht="13" x14ac:dyDescent="0.15">
      <c r="A164" s="4" t="str">
        <f t="shared" si="0"/>
        <v>Sela - Psalm 84</v>
      </c>
      <c r="B164" s="4" t="s">
        <v>260</v>
      </c>
    </row>
    <row r="165" spans="1:2" ht="13" x14ac:dyDescent="0.15">
      <c r="A165" s="4" t="str">
        <f t="shared" si="0"/>
        <v>Sela - Psalm 96</v>
      </c>
      <c r="B165" s="4" t="s">
        <v>261</v>
      </c>
    </row>
    <row r="166" spans="1:2" ht="13" x14ac:dyDescent="0.15">
      <c r="A166" s="4" t="str">
        <f t="shared" si="0"/>
        <v>Sela - Psalm 98</v>
      </c>
      <c r="B166" s="4" t="s">
        <v>262</v>
      </c>
    </row>
    <row r="167" spans="1:2" ht="13" x14ac:dyDescent="0.15">
      <c r="A167" s="4" t="str">
        <f t="shared" si="0"/>
        <v>Sela - Raak mijn wonden aan</v>
      </c>
      <c r="B167" s="4" t="s">
        <v>263</v>
      </c>
    </row>
    <row r="168" spans="1:2" ht="13" x14ac:dyDescent="0.15">
      <c r="A168" s="4" t="str">
        <f t="shared" si="0"/>
        <v>Sela - Ruimte voor U</v>
      </c>
      <c r="B168" s="4" t="s">
        <v>264</v>
      </c>
    </row>
    <row r="169" spans="1:2" ht="13" x14ac:dyDescent="0.15">
      <c r="A169" s="4" t="str">
        <f t="shared" si="0"/>
        <v>Sela - Samen eten wij</v>
      </c>
      <c r="B169" s="4" t="s">
        <v>265</v>
      </c>
    </row>
    <row r="170" spans="1:2" ht="13" x14ac:dyDescent="0.15">
      <c r="A170" s="4" t="str">
        <f t="shared" si="0"/>
        <v>Sela - Sanctus</v>
      </c>
      <c r="B170" s="4" t="s">
        <v>266</v>
      </c>
    </row>
    <row r="171" spans="1:2" ht="13" x14ac:dyDescent="0.15">
      <c r="A171" s="4" t="str">
        <f t="shared" si="0"/>
        <v>Sela - Speel</v>
      </c>
      <c r="B171" s="4" t="s">
        <v>267</v>
      </c>
    </row>
    <row r="172" spans="1:2" ht="13" x14ac:dyDescent="0.15">
      <c r="A172" s="4" t="str">
        <f t="shared" si="0"/>
        <v>Sela - Stad van God</v>
      </c>
      <c r="B172" s="4" t="s">
        <v>268</v>
      </c>
    </row>
    <row r="173" spans="1:2" ht="13" x14ac:dyDescent="0.15">
      <c r="A173" s="4" t="str">
        <f t="shared" si="0"/>
        <v>Sela - Stille nacht, heilige nacht</v>
      </c>
      <c r="B173" s="4" t="s">
        <v>269</v>
      </c>
    </row>
    <row r="174" spans="1:2" ht="13" x14ac:dyDescent="0.15">
      <c r="A174" s="4" t="str">
        <f t="shared" si="0"/>
        <v>Sela - Thuis</v>
      </c>
      <c r="B174" s="4" t="s">
        <v>270</v>
      </c>
    </row>
    <row r="175" spans="1:2" ht="13" x14ac:dyDescent="0.15">
      <c r="A175" s="4" t="str">
        <f t="shared" si="0"/>
        <v>Sela - U</v>
      </c>
      <c r="B175" s="4" t="s">
        <v>271</v>
      </c>
    </row>
    <row r="176" spans="1:2" ht="13" x14ac:dyDescent="0.15">
      <c r="A176" s="4" t="str">
        <f t="shared" si="0"/>
        <v>Sela - U bent aanwezig</v>
      </c>
      <c r="B176" s="4" t="s">
        <v>272</v>
      </c>
    </row>
    <row r="177" spans="1:2" ht="13" x14ac:dyDescent="0.15">
      <c r="A177" s="4" t="str">
        <f t="shared" si="0"/>
        <v>Sela - U bent hier</v>
      </c>
      <c r="B177" s="4" t="s">
        <v>273</v>
      </c>
    </row>
    <row r="178" spans="1:2" ht="13" x14ac:dyDescent="0.15">
      <c r="A178" s="4" t="str">
        <f t="shared" si="0"/>
        <v>Sela - U bent mijn schuilplaats Heer</v>
      </c>
      <c r="B178" s="4" t="s">
        <v>274</v>
      </c>
    </row>
    <row r="179" spans="1:2" ht="13" x14ac:dyDescent="0.15">
      <c r="A179" s="4" t="str">
        <f t="shared" si="0"/>
        <v>Sela - U maakt ons één</v>
      </c>
      <c r="B179" s="4" t="s">
        <v>275</v>
      </c>
    </row>
    <row r="180" spans="1:2" ht="13" x14ac:dyDescent="0.15">
      <c r="A180" s="4" t="str">
        <f t="shared" si="0"/>
        <v>Sela - U zij de glorie</v>
      </c>
      <c r="B180" s="4" t="s">
        <v>276</v>
      </c>
    </row>
    <row r="181" spans="1:2" ht="13" x14ac:dyDescent="0.15">
      <c r="A181" s="4" t="str">
        <f t="shared" si="0"/>
        <v>Sela - Ubi caritas</v>
      </c>
      <c r="B181" s="4" t="s">
        <v>277</v>
      </c>
    </row>
    <row r="182" spans="1:2" ht="13" x14ac:dyDescent="0.15">
      <c r="A182" s="4" t="str">
        <f t="shared" si="0"/>
        <v>Sela - Uw naam</v>
      </c>
      <c r="B182" s="4" t="s">
        <v>278</v>
      </c>
    </row>
    <row r="183" spans="1:2" ht="13" x14ac:dyDescent="0.15">
      <c r="A183" s="4" t="str">
        <f t="shared" si="0"/>
        <v>Sela - Vaders huis</v>
      </c>
      <c r="B183" s="4" t="s">
        <v>279</v>
      </c>
    </row>
    <row r="184" spans="1:2" ht="13" x14ac:dyDescent="0.15">
      <c r="A184" s="4" t="str">
        <f t="shared" si="0"/>
        <v>Sela - Veni Creator Spiritus</v>
      </c>
      <c r="B184" s="4" t="s">
        <v>280</v>
      </c>
    </row>
    <row r="185" spans="1:2" ht="13" x14ac:dyDescent="0.15">
      <c r="A185" s="4" t="str">
        <f t="shared" si="0"/>
        <v>Sela - Verborgen rijkdom</v>
      </c>
      <c r="B185" s="4" t="s">
        <v>281</v>
      </c>
    </row>
    <row r="186" spans="1:2" ht="13" x14ac:dyDescent="0.15">
      <c r="A186" s="4" t="str">
        <f t="shared" si="0"/>
        <v>Sela - Vergeef ons</v>
      </c>
      <c r="B186" s="4" t="s">
        <v>282</v>
      </c>
    </row>
    <row r="187" spans="1:2" ht="13" x14ac:dyDescent="0.15">
      <c r="A187" s="4" t="str">
        <f t="shared" si="0"/>
        <v>Sela - Verlangen</v>
      </c>
      <c r="B187" s="4" t="s">
        <v>283</v>
      </c>
    </row>
    <row r="188" spans="1:2" ht="13" x14ac:dyDescent="0.15">
      <c r="A188" s="4" t="str">
        <f t="shared" si="0"/>
        <v>Sela - Verwachten</v>
      </c>
      <c r="B188" s="4" t="s">
        <v>284</v>
      </c>
    </row>
    <row r="189" spans="1:2" ht="13" x14ac:dyDescent="0.15">
      <c r="A189" s="4" t="str">
        <f t="shared" si="0"/>
        <v>Sela - Via Dolorosa</v>
      </c>
      <c r="B189" s="4" t="s">
        <v>285</v>
      </c>
    </row>
    <row r="190" spans="1:2" ht="13" x14ac:dyDescent="0.15">
      <c r="A190" s="4" t="str">
        <f t="shared" si="0"/>
        <v>Sela - Volheid van God</v>
      </c>
      <c r="B190" s="4" t="s">
        <v>286</v>
      </c>
    </row>
    <row r="191" spans="1:2" ht="13" x14ac:dyDescent="0.15">
      <c r="A191" s="4" t="str">
        <f t="shared" si="0"/>
        <v>Sela - Volheid van genade</v>
      </c>
      <c r="B191" s="4" t="s">
        <v>287</v>
      </c>
    </row>
    <row r="192" spans="1:2" ht="13" x14ac:dyDescent="0.15">
      <c r="A192" s="4" t="str">
        <f t="shared" si="0"/>
        <v>Sela - Voor het goede van het land</v>
      </c>
      <c r="B192" s="4" t="s">
        <v>288</v>
      </c>
    </row>
    <row r="193" spans="1:2" ht="13" x14ac:dyDescent="0.15">
      <c r="A193" s="4" t="str">
        <f t="shared" si="0"/>
        <v>Sela - Voorbedelied</v>
      </c>
      <c r="B193" s="4" t="s">
        <v>289</v>
      </c>
    </row>
    <row r="194" spans="1:2" ht="13" x14ac:dyDescent="0.15">
      <c r="A194" s="4" t="str">
        <f t="shared" si="0"/>
        <v>Sela - Votum en Groet</v>
      </c>
      <c r="B194" s="4" t="s">
        <v>290</v>
      </c>
    </row>
    <row r="195" spans="1:2" ht="13" x14ac:dyDescent="0.15">
      <c r="A195" s="4" t="str">
        <f t="shared" si="0"/>
        <v>Sela - Vrede voor wie het hoort</v>
      </c>
      <c r="B195" s="4" t="s">
        <v>291</v>
      </c>
    </row>
    <row r="196" spans="1:2" ht="13" x14ac:dyDescent="0.15">
      <c r="A196" s="4" t="str">
        <f t="shared" si="0"/>
        <v>Sela - Vreugde van mijn hart</v>
      </c>
      <c r="B196" s="4" t="s">
        <v>292</v>
      </c>
    </row>
    <row r="197" spans="1:2" ht="13" x14ac:dyDescent="0.15">
      <c r="A197" s="4" t="str">
        <f t="shared" si="0"/>
        <v>Sela - Vreugdevuur</v>
      </c>
      <c r="B197" s="4" t="s">
        <v>293</v>
      </c>
    </row>
    <row r="198" spans="1:2" ht="13" x14ac:dyDescent="0.15">
      <c r="A198" s="4" t="str">
        <f t="shared" si="0"/>
        <v>Sela - Vul ons met uw liefde</v>
      </c>
      <c r="B198" s="4" t="s">
        <v>294</v>
      </c>
    </row>
    <row r="199" spans="1:2" ht="13" x14ac:dyDescent="0.15">
      <c r="A199" s="4" t="str">
        <f t="shared" si="0"/>
        <v>Sela - Waar vriendschap en liefde zijn</v>
      </c>
      <c r="B199" s="4" t="s">
        <v>295</v>
      </c>
    </row>
    <row r="200" spans="1:2" ht="13" x14ac:dyDescent="0.15">
      <c r="A200" s="4" t="str">
        <f t="shared" si="0"/>
        <v>Sela - Wacht op de Heer</v>
      </c>
      <c r="B200" s="4" t="s">
        <v>296</v>
      </c>
    </row>
    <row r="201" spans="1:2" ht="13" x14ac:dyDescent="0.15">
      <c r="A201" s="4" t="str">
        <f t="shared" si="0"/>
        <v>Sela - Wanneer ik U niet vind</v>
      </c>
      <c r="B201" s="4" t="s">
        <v>297</v>
      </c>
    </row>
    <row r="202" spans="1:2" ht="13" x14ac:dyDescent="0.15">
      <c r="A202" s="4" t="str">
        <f t="shared" si="0"/>
        <v>Sela - Wanneer wordt het waar</v>
      </c>
      <c r="B202" s="4" t="s">
        <v>298</v>
      </c>
    </row>
    <row r="203" spans="1:2" ht="13" x14ac:dyDescent="0.15">
      <c r="A203" s="4" t="str">
        <f t="shared" si="0"/>
        <v>Sela - Wat een grote liefde</v>
      </c>
      <c r="B203" s="4" t="s">
        <v>299</v>
      </c>
    </row>
    <row r="204" spans="1:2" ht="13" x14ac:dyDescent="0.15">
      <c r="A204" s="4" t="str">
        <f t="shared" si="0"/>
        <v>Sela - Wees bij ons</v>
      </c>
      <c r="B204" s="4" t="s">
        <v>300</v>
      </c>
    </row>
    <row r="205" spans="1:2" ht="13" x14ac:dyDescent="0.15">
      <c r="A205" s="4" t="str">
        <f t="shared" si="0"/>
        <v>Sela - Wees stil voor het aangezicht van God</v>
      </c>
      <c r="B205" s="4" t="s">
        <v>301</v>
      </c>
    </row>
    <row r="206" spans="1:2" ht="13" x14ac:dyDescent="0.15">
      <c r="A206" s="4" t="str">
        <f t="shared" si="0"/>
        <v>Sela - Wees verheugd</v>
      </c>
      <c r="B206" s="4" t="s">
        <v>302</v>
      </c>
    </row>
    <row r="207" spans="1:2" ht="13" x14ac:dyDescent="0.15">
      <c r="A207" s="4" t="str">
        <f t="shared" si="0"/>
        <v>Sela - Welkom hier bij ons</v>
      </c>
      <c r="B207" s="4" t="s">
        <v>303</v>
      </c>
    </row>
    <row r="208" spans="1:2" ht="13" x14ac:dyDescent="0.15">
      <c r="A208" s="4" t="str">
        <f t="shared" si="0"/>
        <v>Sela - Welzalig de man</v>
      </c>
      <c r="B208" s="4" t="s">
        <v>304</v>
      </c>
    </row>
    <row r="209" spans="1:2" ht="13" x14ac:dyDescent="0.15">
      <c r="A209" s="4" t="str">
        <f t="shared" si="0"/>
        <v>Sela - Wiegelied</v>
      </c>
      <c r="B209" s="4" t="s">
        <v>305</v>
      </c>
    </row>
    <row r="210" spans="1:2" ht="13" x14ac:dyDescent="0.15">
      <c r="A210" s="4" t="str">
        <f t="shared" si="0"/>
        <v>Sela - Wij gaan niet zonder U</v>
      </c>
      <c r="B210" s="4" t="s">
        <v>306</v>
      </c>
    </row>
    <row r="211" spans="1:2" ht="13" x14ac:dyDescent="0.15">
      <c r="A211" s="4" t="str">
        <f t="shared" si="0"/>
        <v>Sela - Wij geloven</v>
      </c>
      <c r="B211" s="4" t="s">
        <v>307</v>
      </c>
    </row>
    <row r="212" spans="1:2" ht="13" x14ac:dyDescent="0.15">
      <c r="A212" s="4" t="str">
        <f t="shared" si="0"/>
        <v>Sela - Wij leven van de wind</v>
      </c>
      <c r="B212" s="4" t="s">
        <v>308</v>
      </c>
    </row>
    <row r="213" spans="1:2" ht="13" x14ac:dyDescent="0.15">
      <c r="A213" s="4" t="str">
        <f t="shared" si="0"/>
        <v>Sela - Wij trekken in een lange stoet</v>
      </c>
      <c r="B213" s="4" t="s">
        <v>309</v>
      </c>
    </row>
    <row r="214" spans="1:2" ht="13" x14ac:dyDescent="0.15">
      <c r="A214" s="4" t="str">
        <f t="shared" si="0"/>
        <v>Sela - Wij verhogen uw naam</v>
      </c>
      <c r="B214" s="4" t="s">
        <v>310</v>
      </c>
    </row>
    <row r="215" spans="1:2" ht="13" x14ac:dyDescent="0.15">
      <c r="A215" s="4" t="str">
        <f t="shared" si="0"/>
        <v>Sela - Wij volgen U Heer</v>
      </c>
      <c r="B215" s="4" t="s">
        <v>311</v>
      </c>
    </row>
    <row r="216" spans="1:2" ht="13" x14ac:dyDescent="0.15">
      <c r="A216" s="4" t="str">
        <f t="shared" si="0"/>
        <v>Sela - Wij zijn het licht</v>
      </c>
      <c r="B216" s="4" t="s">
        <v>312</v>
      </c>
    </row>
    <row r="217" spans="1:2" ht="13" x14ac:dyDescent="0.15">
      <c r="A217" s="4" t="str">
        <f t="shared" si="0"/>
        <v>Sela - Wijs mij de weg naar Bethlehem</v>
      </c>
      <c r="B217" s="4" t="s">
        <v>313</v>
      </c>
    </row>
    <row r="218" spans="1:2" ht="13" x14ac:dyDescent="0.15">
      <c r="A218" s="4" t="str">
        <f t="shared" si="0"/>
        <v>Sela - Wonderlijk</v>
      </c>
      <c r="B218" s="4" t="s">
        <v>314</v>
      </c>
    </row>
    <row r="219" spans="1:2" ht="13" x14ac:dyDescent="0.15">
      <c r="A219" s="4" t="str">
        <f t="shared" si="0"/>
        <v>Sela - Wonderlijke raad van God</v>
      </c>
      <c r="B219" s="4" t="s">
        <v>315</v>
      </c>
    </row>
    <row r="220" spans="1:2" ht="13" x14ac:dyDescent="0.15">
      <c r="A220" s="4" t="str">
        <f t="shared" si="0"/>
        <v>Sela - Zegen komt van U</v>
      </c>
      <c r="B220" s="4" t="s">
        <v>316</v>
      </c>
    </row>
    <row r="221" spans="1:2" ht="13" x14ac:dyDescent="0.15">
      <c r="A221" s="4" t="str">
        <f t="shared" si="0"/>
        <v>Sela - Zegen voor de kinderen</v>
      </c>
      <c r="B221" s="4" t="s">
        <v>317</v>
      </c>
    </row>
    <row r="222" spans="1:2" ht="13" x14ac:dyDescent="0.15">
      <c r="A222" s="4" t="str">
        <f t="shared" si="0"/>
        <v>Sela - Zie de mens</v>
      </c>
      <c r="B222" s="4" t="s">
        <v>318</v>
      </c>
    </row>
    <row r="223" spans="1:2" ht="13" x14ac:dyDescent="0.15">
      <c r="A223" s="4" t="str">
        <f t="shared" si="0"/>
        <v>Sela - Zie hoe Jezus lijdt voor mij</v>
      </c>
      <c r="B223" s="4" t="s">
        <v>319</v>
      </c>
    </row>
    <row r="224" spans="1:2" ht="13" x14ac:dyDescent="0.15">
      <c r="A224" s="4" t="str">
        <f t="shared" si="0"/>
        <v>Sela - Zo hoort uw liefde bij ons</v>
      </c>
      <c r="B224" s="4" t="s">
        <v>320</v>
      </c>
    </row>
    <row r="225" spans="1:2" ht="13" x14ac:dyDescent="0.15">
      <c r="A225" s="4" t="str">
        <f t="shared" si="0"/>
        <v>Sela - Zo is het beloofd</v>
      </c>
      <c r="B225" s="4" t="s">
        <v>321</v>
      </c>
    </row>
    <row r="226" spans="1:2" ht="13" x14ac:dyDescent="0.15">
      <c r="A226" s="4" t="str">
        <f t="shared" si="0"/>
        <v>Sela - Zo lief had God de Vader ons</v>
      </c>
      <c r="B226" s="4" t="s">
        <v>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908"/>
  <sheetViews>
    <sheetView workbookViewId="0"/>
  </sheetViews>
  <sheetFormatPr baseColWidth="10" defaultColWidth="12.6640625" defaultRowHeight="15.75" customHeight="1" x14ac:dyDescent="0.15"/>
  <cols>
    <col min="1" max="1" width="52.1640625" customWidth="1"/>
    <col min="2" max="2" width="6" customWidth="1"/>
    <col min="3" max="3" width="54.33203125" customWidth="1"/>
  </cols>
  <sheetData>
    <row r="1" spans="1:3" ht="15.75" customHeight="1" x14ac:dyDescent="0.15">
      <c r="A1" s="1" t="s">
        <v>323</v>
      </c>
      <c r="B1" s="1" t="s">
        <v>324</v>
      </c>
      <c r="C1" s="1" t="s">
        <v>325</v>
      </c>
    </row>
    <row r="2" spans="1:3" ht="15.75" customHeight="1" x14ac:dyDescent="0.15">
      <c r="A2" s="4" t="str">
        <f>CONCATENATE("Opw ", B2, " ", C2)</f>
        <v>Opw 1 Hij's de Koning van mijn hart</v>
      </c>
      <c r="B2" s="4">
        <v>1</v>
      </c>
      <c r="C2" s="4" t="s">
        <v>328</v>
      </c>
    </row>
    <row r="3" spans="1:3" ht="15.75" customHeight="1" x14ac:dyDescent="0.15">
      <c r="A3" s="4" t="str">
        <f t="shared" ref="A3:A257" si="0">IF(NOT(ISBLANK(B3)), CONCATENATE("Opw ", B3, " ", C3), "")</f>
        <v>Opw 2 O, hoe wonderbaar is Jezus' bloed</v>
      </c>
      <c r="B3" s="4">
        <v>2</v>
      </c>
      <c r="C3" s="4" t="s">
        <v>329</v>
      </c>
    </row>
    <row r="4" spans="1:3" ht="15.75" customHeight="1" x14ac:dyDescent="0.15">
      <c r="A4" s="4" t="str">
        <f t="shared" si="0"/>
        <v>Opw 3 Wees blij in de Heer en zing verheugd</v>
      </c>
      <c r="B4" s="4">
        <v>3</v>
      </c>
      <c r="C4" s="4" t="s">
        <v>330</v>
      </c>
    </row>
    <row r="5" spans="1:3" ht="15.75" customHeight="1" x14ac:dyDescent="0.15">
      <c r="A5" s="4" t="str">
        <f t="shared" si="0"/>
        <v>Opw 4 Zijn naam is wonderbaar</v>
      </c>
      <c r="B5" s="4">
        <v>4</v>
      </c>
      <c r="C5" s="4" t="s">
        <v>331</v>
      </c>
    </row>
    <row r="6" spans="1:3" ht="15.75" customHeight="1" x14ac:dyDescent="0.15">
      <c r="A6" s="4" t="str">
        <f t="shared" si="0"/>
        <v>Opw 5 Halleluja (Jerry Sinclair)</v>
      </c>
      <c r="B6" s="4">
        <v>5</v>
      </c>
      <c r="C6" s="4" t="s">
        <v>332</v>
      </c>
    </row>
    <row r="7" spans="1:3" ht="15.75" customHeight="1" x14ac:dyDescent="0.15">
      <c r="A7" s="4" t="str">
        <f t="shared" si="0"/>
        <v>Opw 6 Hij is Heer, Hij is Heer</v>
      </c>
      <c r="B7" s="4">
        <v>6</v>
      </c>
      <c r="C7" s="4" t="s">
        <v>333</v>
      </c>
    </row>
    <row r="8" spans="1:3" ht="15.75" customHeight="1" x14ac:dyDescent="0.15">
      <c r="A8" s="4" t="str">
        <f t="shared" si="0"/>
        <v>Opw 7 Heer, God, U loven wij</v>
      </c>
      <c r="B8" s="4">
        <v>7</v>
      </c>
      <c r="C8" s="4" t="s">
        <v>335</v>
      </c>
    </row>
    <row r="9" spans="1:3" ht="15.75" customHeight="1" x14ac:dyDescent="0.15">
      <c r="A9" s="4" t="str">
        <f t="shared" si="0"/>
        <v>Opw 8 Door de heilige Geest zijn wij één</v>
      </c>
      <c r="B9" s="4">
        <v>8</v>
      </c>
      <c r="C9" s="4" t="s">
        <v>336</v>
      </c>
    </row>
    <row r="10" spans="1:3" ht="15.75" customHeight="1" x14ac:dyDescent="0.15">
      <c r="A10" s="4" t="str">
        <f t="shared" si="0"/>
        <v>Opw 9 Wat ik nodig heb</v>
      </c>
      <c r="B10" s="4">
        <v>9</v>
      </c>
      <c r="C10" s="4" t="s">
        <v>337</v>
      </c>
    </row>
    <row r="11" spans="1:3" ht="15.75" customHeight="1" x14ac:dyDescent="0.15">
      <c r="A11" s="4" t="str">
        <f t="shared" si="0"/>
        <v>Opw 10 Laat mijn leven zijn</v>
      </c>
      <c r="B11" s="4">
        <v>10</v>
      </c>
      <c r="C11" s="4" t="s">
        <v>338</v>
      </c>
    </row>
    <row r="12" spans="1:3" ht="15.75" customHeight="1" x14ac:dyDescent="0.15">
      <c r="A12" s="4" t="str">
        <f t="shared" si="0"/>
        <v>Opw 11 Er is een Heer/Jezus sprak hier op aard</v>
      </c>
      <c r="B12" s="4">
        <v>11</v>
      </c>
      <c r="C12" s="4" t="s">
        <v>340</v>
      </c>
    </row>
    <row r="13" spans="1:3" ht="15.75" customHeight="1" x14ac:dyDescent="0.15">
      <c r="A13" s="4" t="str">
        <f t="shared" si="0"/>
        <v>Opw 12 All over the world</v>
      </c>
      <c r="B13" s="4">
        <v>12</v>
      </c>
      <c r="C13" s="4" t="s">
        <v>341</v>
      </c>
    </row>
    <row r="14" spans="1:3" ht="15.75" customHeight="1" x14ac:dyDescent="0.15">
      <c r="A14" s="4" t="str">
        <f t="shared" si="0"/>
        <v>Opw 13 Jezus, Hij is Koning</v>
      </c>
      <c r="B14" s="4">
        <v>13</v>
      </c>
      <c r="C14" s="4" t="s">
        <v>342</v>
      </c>
    </row>
    <row r="15" spans="1:3" ht="15.75" customHeight="1" x14ac:dyDescent="0.15">
      <c r="A15" s="4" t="str">
        <f t="shared" si="0"/>
        <v>Opw 14 De vreugde des Heren is mijn kracht</v>
      </c>
      <c r="B15" s="4">
        <v>14</v>
      </c>
      <c r="C15" s="4" t="s">
        <v>344</v>
      </c>
    </row>
    <row r="16" spans="1:3" ht="15.75" customHeight="1" x14ac:dyDescent="0.15">
      <c r="A16" s="4" t="str">
        <f t="shared" si="0"/>
        <v>Opw 15 Jesus' love is very wonderful</v>
      </c>
      <c r="B16" s="4">
        <v>15</v>
      </c>
      <c r="C16" s="4" t="s">
        <v>346</v>
      </c>
    </row>
    <row r="17" spans="1:3" ht="15.75" customHeight="1" x14ac:dyDescent="0.15">
      <c r="A17" s="4" t="str">
        <f t="shared" si="0"/>
        <v>Opw 16 Hij is getrouw en nimmer falend</v>
      </c>
      <c r="B17" s="4">
        <v>16</v>
      </c>
      <c r="C17" s="4" t="s">
        <v>347</v>
      </c>
    </row>
    <row r="18" spans="1:3" ht="15.75" customHeight="1" x14ac:dyDescent="0.15">
      <c r="A18" s="4" t="str">
        <f t="shared" si="0"/>
        <v>Opw 17 Ja, God is goed</v>
      </c>
      <c r="B18" s="4">
        <v>17</v>
      </c>
      <c r="C18" s="4" t="s">
        <v>349</v>
      </c>
    </row>
    <row r="19" spans="1:3" ht="15.75" customHeight="1" x14ac:dyDescent="0.15">
      <c r="A19" s="4" t="str">
        <f t="shared" si="0"/>
        <v>Opw 18 Zijn goedheid en genade</v>
      </c>
      <c r="B19" s="4">
        <v>18</v>
      </c>
      <c r="C19" s="4" t="s">
        <v>350</v>
      </c>
    </row>
    <row r="20" spans="1:3" ht="15.75" customHeight="1" x14ac:dyDescent="0.15">
      <c r="A20" s="4" t="str">
        <f t="shared" si="0"/>
        <v>Opw 19 He brought me to His banqueting table</v>
      </c>
      <c r="B20" s="4">
        <v>19</v>
      </c>
      <c r="C20" s="4" t="s">
        <v>352</v>
      </c>
    </row>
    <row r="21" spans="1:3" ht="15.75" customHeight="1" x14ac:dyDescent="0.15">
      <c r="A21" s="4" t="str">
        <f t="shared" si="0"/>
        <v>Opw 20 Niemand anders dan Jezus</v>
      </c>
      <c r="B21" s="4">
        <v>20</v>
      </c>
      <c r="C21" s="4" t="s">
        <v>353</v>
      </c>
    </row>
    <row r="22" spans="1:3" ht="15.75" customHeight="1" x14ac:dyDescent="0.15">
      <c r="A22" s="4" t="str">
        <f t="shared" si="0"/>
        <v>Opw 21 Ik dank U, dank U Jezus</v>
      </c>
      <c r="B22" s="4">
        <v>21</v>
      </c>
      <c r="C22" s="4" t="s">
        <v>355</v>
      </c>
    </row>
    <row r="23" spans="1:3" ht="15.75" customHeight="1" x14ac:dyDescent="0.15">
      <c r="A23" s="4" t="str">
        <f t="shared" si="0"/>
        <v>Opw 22 In de naam van Jezus, in de naam van Jezus</v>
      </c>
      <c r="B23" s="4">
        <v>22</v>
      </c>
      <c r="C23" s="4" t="s">
        <v>357</v>
      </c>
    </row>
    <row r="24" spans="1:3" ht="15.75" customHeight="1" x14ac:dyDescent="0.15">
      <c r="A24" s="4" t="str">
        <f t="shared" si="0"/>
        <v>Opw 23 Ik weet, dat God de weg mij banen zal</v>
      </c>
      <c r="B24" s="4">
        <v>23</v>
      </c>
      <c r="C24" s="4" t="s">
        <v>358</v>
      </c>
    </row>
    <row r="25" spans="1:3" ht="15.75" customHeight="1" x14ac:dyDescent="0.15">
      <c r="A25" s="4" t="str">
        <f t="shared" si="0"/>
        <v>Opw 24 Zingt, zingt en jubelt</v>
      </c>
      <c r="B25" s="4">
        <v>24</v>
      </c>
      <c r="C25" s="4" t="s">
        <v>360</v>
      </c>
    </row>
    <row r="26" spans="1:3" ht="15.75" customHeight="1" x14ac:dyDescent="0.15">
      <c r="A26" s="4" t="str">
        <f t="shared" si="0"/>
        <v>Opw 25 Laat ons met elkander</v>
      </c>
      <c r="B26" s="4">
        <v>25</v>
      </c>
      <c r="C26" s="4" t="s">
        <v>361</v>
      </c>
    </row>
    <row r="27" spans="1:3" ht="15.75" customHeight="1" x14ac:dyDescent="0.15">
      <c r="A27" s="4" t="str">
        <f t="shared" si="0"/>
        <v>Opw 26 Gods weg is de beste</v>
      </c>
      <c r="B27" s="4">
        <v>26</v>
      </c>
      <c r="C27" s="4" t="s">
        <v>363</v>
      </c>
    </row>
    <row r="28" spans="1:3" ht="15.75" customHeight="1" x14ac:dyDescent="0.15">
      <c r="A28" s="4" t="str">
        <f t="shared" si="0"/>
        <v>Opw 27 Leid mij, Heer, o machtig Heiland</v>
      </c>
      <c r="B28" s="4">
        <v>27</v>
      </c>
      <c r="C28" s="4" t="s">
        <v>364</v>
      </c>
    </row>
    <row r="29" spans="1:3" ht="15.75" customHeight="1" x14ac:dyDescent="0.15">
      <c r="A29" s="4" t="str">
        <f t="shared" si="0"/>
        <v>Opw 28 Als Gods Geest waarlijk in ons woont</v>
      </c>
      <c r="B29" s="4">
        <v>28</v>
      </c>
      <c r="C29" s="4" t="s">
        <v>366</v>
      </c>
    </row>
    <row r="30" spans="1:3" ht="15.75" customHeight="1" x14ac:dyDescent="0.15">
      <c r="A30" s="4" t="str">
        <f t="shared" si="0"/>
        <v>Opw 29 Praise the Lord</v>
      </c>
      <c r="B30" s="4">
        <v>29</v>
      </c>
      <c r="C30" s="4" t="s">
        <v>367</v>
      </c>
    </row>
    <row r="31" spans="1:3" ht="15.75" customHeight="1" x14ac:dyDescent="0.15">
      <c r="A31" s="4" t="str">
        <f t="shared" si="0"/>
        <v>Opw 30 Ik heb een loflied in mijn hart</v>
      </c>
      <c r="B31" s="4">
        <v>30</v>
      </c>
      <c r="C31" s="4" t="s">
        <v>369</v>
      </c>
    </row>
    <row r="32" spans="1:3" ht="15.75" customHeight="1" x14ac:dyDescent="0.15">
      <c r="A32" s="4" t="str">
        <f t="shared" si="0"/>
        <v>Opw 31 O, how I love Jesus</v>
      </c>
      <c r="B32" s="4">
        <v>31</v>
      </c>
      <c r="C32" s="4" t="s">
        <v>371</v>
      </c>
    </row>
    <row r="33" spans="1:3" ht="15.75" customHeight="1" x14ac:dyDescent="0.15">
      <c r="A33" s="4" t="str">
        <f t="shared" si="0"/>
        <v>Opw 32 Dit is de dag die de Heer ons geeft</v>
      </c>
      <c r="B33" s="4">
        <v>32</v>
      </c>
      <c r="C33" s="4" t="s">
        <v>372</v>
      </c>
    </row>
    <row r="34" spans="1:3" ht="15.75" customHeight="1" x14ac:dyDescent="0.15">
      <c r="A34" s="4" t="str">
        <f t="shared" si="0"/>
        <v>Opw 33 Prijst God</v>
      </c>
      <c r="B34" s="4">
        <v>33</v>
      </c>
      <c r="C34" s="4" t="s">
        <v>374</v>
      </c>
    </row>
    <row r="35" spans="1:3" ht="15.75" customHeight="1" x14ac:dyDescent="0.15">
      <c r="A35" s="4" t="str">
        <f t="shared" si="0"/>
        <v>Opw 34 Hiney ma tov ooma nayim</v>
      </c>
      <c r="B35" s="4">
        <v>34</v>
      </c>
      <c r="C35" s="4" t="s">
        <v>375</v>
      </c>
    </row>
    <row r="36" spans="1:3" ht="15.75" customHeight="1" x14ac:dyDescent="0.15">
      <c r="A36" s="4" t="str">
        <f t="shared" si="0"/>
        <v>Opw 35 Klapt in de handen</v>
      </c>
      <c r="B36" s="4">
        <v>35</v>
      </c>
      <c r="C36" s="4" t="s">
        <v>377</v>
      </c>
    </row>
    <row r="37" spans="1:3" ht="15.75" customHeight="1" x14ac:dyDescent="0.15">
      <c r="A37" s="4" t="str">
        <f t="shared" si="0"/>
        <v>Opw 36 Roep Mij toch aan</v>
      </c>
      <c r="B37" s="4">
        <v>36</v>
      </c>
      <c r="C37" s="4" t="s">
        <v>378</v>
      </c>
    </row>
    <row r="38" spans="1:3" ht="15.75" customHeight="1" x14ac:dyDescent="0.15">
      <c r="A38" s="4" t="str">
        <f t="shared" si="0"/>
        <v>Opw 37 Halleluja. Hij stierf voor mij</v>
      </c>
      <c r="B38" s="4">
        <v>37</v>
      </c>
      <c r="C38" s="4" t="s">
        <v>380</v>
      </c>
    </row>
    <row r="39" spans="1:3" ht="15.75" customHeight="1" x14ac:dyDescent="0.15">
      <c r="A39" s="4" t="str">
        <f t="shared" si="0"/>
        <v>Opw 38 Halleluja (Garratt)</v>
      </c>
      <c r="B39" s="4">
        <v>38</v>
      </c>
      <c r="C39" s="4" t="s">
        <v>381</v>
      </c>
    </row>
    <row r="40" spans="1:3" ht="15.75" customHeight="1" x14ac:dyDescent="0.15">
      <c r="A40" s="4" t="str">
        <f t="shared" si="0"/>
        <v>Opw 39 Heilig, heilig, Heer God almachtig</v>
      </c>
      <c r="B40" s="4">
        <v>39</v>
      </c>
      <c r="C40" s="4" t="s">
        <v>383</v>
      </c>
    </row>
    <row r="41" spans="1:3" ht="15.75" customHeight="1" x14ac:dyDescent="0.15">
      <c r="A41" s="4" t="str">
        <f t="shared" si="0"/>
        <v>Opw 40 Zoekt eerst het koninkrijk van God</v>
      </c>
      <c r="B41" s="4">
        <v>40</v>
      </c>
      <c r="C41" s="4" t="s">
        <v>385</v>
      </c>
    </row>
    <row r="42" spans="1:3" ht="15.75" customHeight="1" x14ac:dyDescent="0.15">
      <c r="A42" s="4" t="str">
        <f t="shared" si="0"/>
        <v>Opw 41 Love is the flag</v>
      </c>
      <c r="B42" s="4">
        <v>41</v>
      </c>
      <c r="C42" s="4" t="s">
        <v>386</v>
      </c>
    </row>
    <row r="43" spans="1:3" ht="15.75" customHeight="1" x14ac:dyDescent="0.15">
      <c r="A43" s="4" t="str">
        <f t="shared" si="0"/>
        <v>Opw 42 k Stel mijn vertrouwen</v>
      </c>
      <c r="B43" s="4">
        <v>42</v>
      </c>
      <c r="C43" s="6" t="s">
        <v>388</v>
      </c>
    </row>
    <row r="44" spans="1:3" ht="15.75" customHeight="1" x14ac:dyDescent="0.15">
      <c r="A44" s="4" t="str">
        <f t="shared" si="0"/>
        <v>Opw 43 In Gods overwinning</v>
      </c>
      <c r="B44" s="4">
        <v>43</v>
      </c>
      <c r="C44" s="4" t="s">
        <v>390</v>
      </c>
    </row>
    <row r="45" spans="1:3" ht="15.75" customHeight="1" x14ac:dyDescent="0.15">
      <c r="A45" s="4" t="str">
        <f t="shared" si="0"/>
        <v>Opw 44 Geprezen zij de Heer die eeuwig leeft</v>
      </c>
      <c r="B45" s="4">
        <v>44</v>
      </c>
      <c r="C45" s="4" t="s">
        <v>391</v>
      </c>
    </row>
    <row r="46" spans="1:3" ht="15.75" customHeight="1" x14ac:dyDescent="0.15">
      <c r="A46" s="4" t="str">
        <f t="shared" si="0"/>
        <v>Opw 45 Heer, 'k wil U danken, U loven en prijzen</v>
      </c>
      <c r="B46" s="4">
        <v>45</v>
      </c>
      <c r="C46" s="4" t="s">
        <v>393</v>
      </c>
    </row>
    <row r="47" spans="1:3" ht="15.75" customHeight="1" x14ac:dyDescent="0.15">
      <c r="A47" s="4" t="str">
        <f t="shared" si="0"/>
        <v>Opw 46 Vader, ik aanbid U</v>
      </c>
      <c r="B47" s="4">
        <v>46</v>
      </c>
      <c r="C47" s="4" t="s">
        <v>395</v>
      </c>
    </row>
    <row r="48" spans="1:3" ht="15.75" customHeight="1" x14ac:dyDescent="0.15">
      <c r="A48" s="4" t="str">
        <f t="shared" si="0"/>
        <v>Opw 47 Omdat Hij leeft</v>
      </c>
      <c r="B48" s="4">
        <v>47</v>
      </c>
      <c r="C48" s="4" t="s">
        <v>397</v>
      </c>
    </row>
    <row r="49" spans="1:3" ht="15.75" customHeight="1" x14ac:dyDescent="0.15">
      <c r="A49" s="4" t="str">
        <f t="shared" si="0"/>
        <v>Opw 48 Dank U Jezus</v>
      </c>
      <c r="B49" s="4">
        <v>48</v>
      </c>
      <c r="C49" s="4" t="s">
        <v>398</v>
      </c>
    </row>
    <row r="50" spans="1:3" ht="15.75" customHeight="1" x14ac:dyDescent="0.15">
      <c r="A50" s="4" t="str">
        <f t="shared" si="0"/>
        <v>Opw 49 Halleluja, want de Heer onze God</v>
      </c>
      <c r="B50" s="4">
        <v>49</v>
      </c>
      <c r="C50" s="4" t="s">
        <v>399</v>
      </c>
    </row>
    <row r="51" spans="1:3" ht="15.75" customHeight="1" x14ac:dyDescent="0.15">
      <c r="A51" s="4" t="str">
        <f t="shared" si="0"/>
        <v>Opw 50 k Wil U prijzen, o Heer</v>
      </c>
      <c r="B51" s="4">
        <v>50</v>
      </c>
      <c r="C51" s="6" t="s">
        <v>400</v>
      </c>
    </row>
    <row r="52" spans="1:3" ht="15.75" customHeight="1" x14ac:dyDescent="0.15">
      <c r="A52" s="4" t="str">
        <f t="shared" si="0"/>
        <v>Opw 51 Dit is mijn gebod</v>
      </c>
      <c r="B52" s="4">
        <v>51</v>
      </c>
      <c r="C52" s="4" t="s">
        <v>402</v>
      </c>
    </row>
    <row r="53" spans="1:3" ht="15.75" customHeight="1" x14ac:dyDescent="0.15">
      <c r="A53" s="4" t="str">
        <f t="shared" si="0"/>
        <v>Opw 52 Gij zijt waardig</v>
      </c>
      <c r="B53" s="4">
        <v>52</v>
      </c>
      <c r="C53" s="4" t="s">
        <v>403</v>
      </c>
    </row>
    <row r="54" spans="1:3" ht="15.75" customHeight="1" x14ac:dyDescent="0.15">
      <c r="A54" s="4" t="str">
        <f t="shared" si="0"/>
        <v>Opw 53 Zingt de Here een nieuw lied</v>
      </c>
      <c r="B54" s="4">
        <v>53</v>
      </c>
      <c r="C54" s="4" t="s">
        <v>405</v>
      </c>
    </row>
    <row r="55" spans="1:3" ht="13" x14ac:dyDescent="0.15">
      <c r="A55" s="4" t="str">
        <f t="shared" si="0"/>
        <v>Opw 54 Looft de Here, alle gij volken</v>
      </c>
      <c r="B55" s="4">
        <v>54</v>
      </c>
      <c r="C55" s="4" t="s">
        <v>407</v>
      </c>
    </row>
    <row r="56" spans="1:3" ht="13" x14ac:dyDescent="0.15">
      <c r="A56" s="4" t="str">
        <f t="shared" si="0"/>
        <v>Opw 55 Groot is de Heer en hoog te loven</v>
      </c>
      <c r="B56" s="4">
        <v>55</v>
      </c>
      <c r="C56" s="4" t="s">
        <v>409</v>
      </c>
    </row>
    <row r="57" spans="1:3" ht="13" x14ac:dyDescent="0.15">
      <c r="A57" s="4" t="str">
        <f t="shared" si="0"/>
        <v>Opw 56 Zijn naam is hoger</v>
      </c>
      <c r="B57" s="4">
        <v>56</v>
      </c>
      <c r="C57" s="4" t="s">
        <v>410</v>
      </c>
    </row>
    <row r="58" spans="1:3" ht="13" x14ac:dyDescent="0.15">
      <c r="A58" s="4" t="str">
        <f t="shared" si="0"/>
        <v>Opw 57 Prijst de naam van Jezus</v>
      </c>
      <c r="B58" s="4">
        <v>57</v>
      </c>
      <c r="C58" s="4" t="s">
        <v>412</v>
      </c>
    </row>
    <row r="59" spans="1:3" ht="13" x14ac:dyDescent="0.15">
      <c r="A59" s="4" t="str">
        <f t="shared" si="0"/>
        <v>Opw 58 Vrede zij u</v>
      </c>
      <c r="B59" s="4">
        <v>58</v>
      </c>
      <c r="C59" s="4" t="s">
        <v>413</v>
      </c>
    </row>
    <row r="60" spans="1:3" ht="13" x14ac:dyDescent="0.15">
      <c r="A60" s="4" t="str">
        <f t="shared" si="0"/>
        <v>Opw 59 Mogen de woorden van mijn mond</v>
      </c>
      <c r="B60" s="4">
        <v>59</v>
      </c>
      <c r="C60" s="4" t="s">
        <v>415</v>
      </c>
    </row>
    <row r="61" spans="1:3" ht="13" x14ac:dyDescent="0.15">
      <c r="A61" s="4" t="str">
        <f t="shared" si="0"/>
        <v>Opw 60 Voor uw liefde, Heer Jezus</v>
      </c>
      <c r="B61" s="4">
        <v>60</v>
      </c>
      <c r="C61" s="4" t="s">
        <v>417</v>
      </c>
    </row>
    <row r="62" spans="1:3" ht="13" x14ac:dyDescent="0.15">
      <c r="A62" s="4" t="str">
        <f t="shared" si="0"/>
        <v>Opw 61 Prijst met ons de Heer</v>
      </c>
      <c r="B62" s="4">
        <v>61</v>
      </c>
      <c r="C62" s="4" t="s">
        <v>420</v>
      </c>
    </row>
    <row r="63" spans="1:3" ht="13" x14ac:dyDescent="0.15">
      <c r="A63" s="4" t="str">
        <f t="shared" si="0"/>
        <v>Opw 62 Gods lof wil 'k zingen</v>
      </c>
      <c r="B63" s="4">
        <v>62</v>
      </c>
      <c r="C63" s="4" t="s">
        <v>422</v>
      </c>
    </row>
    <row r="64" spans="1:3" ht="13" x14ac:dyDescent="0.15">
      <c r="A64" s="4" t="str">
        <f t="shared" si="0"/>
        <v>Opw 63 Prijst de Here met elkander</v>
      </c>
      <c r="B64" s="4">
        <v>63</v>
      </c>
      <c r="C64" s="4" t="s">
        <v>423</v>
      </c>
    </row>
    <row r="65" spans="1:3" ht="13" x14ac:dyDescent="0.15">
      <c r="A65" s="4" t="str">
        <f t="shared" si="0"/>
        <v>Opw 64 Beter dan 't leven</v>
      </c>
      <c r="B65" s="4">
        <v>64</v>
      </c>
      <c r="C65" s="4" t="s">
        <v>425</v>
      </c>
    </row>
    <row r="66" spans="1:3" ht="13" x14ac:dyDescent="0.15">
      <c r="A66" s="4" t="str">
        <f t="shared" si="0"/>
        <v>Opw 65 Loof de Here, mijn ziel</v>
      </c>
      <c r="B66" s="4">
        <v>65</v>
      </c>
      <c r="C66" s="4" t="s">
        <v>427</v>
      </c>
    </row>
    <row r="67" spans="1:3" ht="13" x14ac:dyDescent="0.15">
      <c r="A67" s="4" t="str">
        <f t="shared" si="0"/>
        <v>Opw 66 Komt, prijst de Heer</v>
      </c>
      <c r="B67" s="4">
        <v>66</v>
      </c>
      <c r="C67" s="4" t="s">
        <v>428</v>
      </c>
    </row>
    <row r="68" spans="1:3" ht="13" x14ac:dyDescent="0.15">
      <c r="A68" s="4" t="str">
        <f t="shared" si="0"/>
        <v>Opw 67 Het is goed, ja 't is goed</v>
      </c>
      <c r="B68" s="4">
        <v>67</v>
      </c>
      <c r="C68" s="4" t="s">
        <v>429</v>
      </c>
    </row>
    <row r="69" spans="1:3" ht="13" x14ac:dyDescent="0.15">
      <c r="A69" s="4" t="str">
        <f t="shared" si="0"/>
        <v>Opw 68 Zing halleluja voor de Heer</v>
      </c>
      <c r="B69" s="4">
        <v>68</v>
      </c>
      <c r="C69" s="4" t="s">
        <v>430</v>
      </c>
    </row>
    <row r="70" spans="1:3" ht="13" x14ac:dyDescent="0.15">
      <c r="A70" s="4" t="str">
        <f t="shared" si="0"/>
        <v>Opw 69 k Heb je lief met de liefde van de Heer</v>
      </c>
      <c r="B70" s="4">
        <v>69</v>
      </c>
      <c r="C70" s="6" t="s">
        <v>431</v>
      </c>
    </row>
    <row r="71" spans="1:3" ht="13" x14ac:dyDescent="0.15">
      <c r="A71" s="4" t="str">
        <f t="shared" si="0"/>
        <v>Opw 70 Heer, onze God, hoe heerlijk is uw naam</v>
      </c>
      <c r="B71" s="4">
        <v>70</v>
      </c>
      <c r="C71" s="4" t="s">
        <v>432</v>
      </c>
    </row>
    <row r="72" spans="1:3" ht="13" x14ac:dyDescent="0.15">
      <c r="A72" s="4" t="str">
        <f t="shared" si="0"/>
        <v>Opw 71 Jezus leeft in eeuwigheid</v>
      </c>
      <c r="B72" s="4">
        <v>71</v>
      </c>
      <c r="C72" s="4" t="s">
        <v>434</v>
      </c>
    </row>
    <row r="73" spans="1:3" ht="13" x14ac:dyDescent="0.15">
      <c r="A73" s="4" t="str">
        <f t="shared" si="0"/>
        <v>Opw 72 Vanwaar de zon opgaat</v>
      </c>
      <c r="B73" s="4">
        <v>72</v>
      </c>
      <c r="C73" s="4" t="s">
        <v>435</v>
      </c>
    </row>
    <row r="74" spans="1:3" ht="13" x14ac:dyDescent="0.15">
      <c r="A74" s="4" t="str">
        <f t="shared" si="0"/>
        <v>Opw 73 Wat een plezier heeft het meisje</v>
      </c>
      <c r="B74" s="4">
        <v>73</v>
      </c>
      <c r="C74" s="4" t="s">
        <v>437</v>
      </c>
    </row>
    <row r="75" spans="1:3" ht="13" x14ac:dyDescent="0.15">
      <c r="A75" s="4" t="str">
        <f t="shared" si="0"/>
        <v>Opw 74 Heer, we zijn hier saamgekomen</v>
      </c>
      <c r="B75" s="4">
        <v>74</v>
      </c>
      <c r="C75" s="4" t="s">
        <v>438</v>
      </c>
    </row>
    <row r="76" spans="1:3" ht="13" x14ac:dyDescent="0.15">
      <c r="A76" s="4" t="str">
        <f t="shared" si="0"/>
        <v>Opw 75 Wie lof offert, eert Mij</v>
      </c>
      <c r="B76" s="4">
        <v>75</v>
      </c>
      <c r="C76" s="4" t="s">
        <v>439</v>
      </c>
    </row>
    <row r="77" spans="1:3" ht="13" x14ac:dyDescent="0.15">
      <c r="A77" s="4" t="str">
        <f t="shared" si="0"/>
        <v>Opw 76 Maar Gij, Heer, zijt een schild dat mij dekt</v>
      </c>
      <c r="B77" s="4">
        <v>76</v>
      </c>
      <c r="C77" s="4" t="s">
        <v>440</v>
      </c>
    </row>
    <row r="78" spans="1:3" ht="13" x14ac:dyDescent="0.15">
      <c r="A78" s="4" t="str">
        <f t="shared" si="0"/>
        <v>Opw 77 Wij zijn allen hier bijeen in Jezus' naam</v>
      </c>
      <c r="B78" s="4">
        <v>77</v>
      </c>
      <c r="C78" s="4" t="s">
        <v>442</v>
      </c>
    </row>
    <row r="79" spans="1:3" ht="13" x14ac:dyDescent="0.15">
      <c r="A79" s="4" t="str">
        <f t="shared" si="0"/>
        <v>Opw 78 Halleluja, looft God in zijn heiligdom</v>
      </c>
      <c r="B79" s="4">
        <v>78</v>
      </c>
      <c r="C79" s="4" t="s">
        <v>443</v>
      </c>
    </row>
    <row r="80" spans="1:3" ht="13" x14ac:dyDescent="0.15">
      <c r="A80" s="4" t="str">
        <f t="shared" si="0"/>
        <v>Opw 79 Tot U, o Heer, hef ik op mijn ziele</v>
      </c>
      <c r="B80" s="4">
        <v>79</v>
      </c>
      <c r="C80" s="4" t="s">
        <v>445</v>
      </c>
    </row>
    <row r="81" spans="1:3" ht="13" x14ac:dyDescent="0.15">
      <c r="A81" s="4" t="str">
        <f t="shared" si="0"/>
        <v>Opw 80 Ik zal opgaan naar Gods huis</v>
      </c>
      <c r="B81" s="4">
        <v>80</v>
      </c>
      <c r="C81" s="4" t="s">
        <v>447</v>
      </c>
    </row>
    <row r="82" spans="1:3" ht="13" x14ac:dyDescent="0.15">
      <c r="A82" s="4" t="str">
        <f t="shared" si="0"/>
        <v>Opw 81 Waardig, waardig, waardig</v>
      </c>
      <c r="B82" s="4">
        <v>81</v>
      </c>
      <c r="C82" s="4" t="s">
        <v>448</v>
      </c>
    </row>
    <row r="83" spans="1:3" ht="13" x14ac:dyDescent="0.15">
      <c r="A83" s="4" t="str">
        <f t="shared" si="0"/>
        <v>Opw 82 Komt, laat ons zingen vandaag</v>
      </c>
      <c r="B83" s="4">
        <v>82</v>
      </c>
      <c r="C83" s="4" t="s">
        <v>450</v>
      </c>
    </row>
    <row r="84" spans="1:3" ht="13" x14ac:dyDescent="0.15">
      <c r="A84" s="4" t="str">
        <f t="shared" si="0"/>
        <v>Opw 83 Hij, die gelooft</v>
      </c>
      <c r="B84" s="4">
        <v>83</v>
      </c>
      <c r="C84" s="4" t="s">
        <v>451</v>
      </c>
    </row>
    <row r="85" spans="1:3" ht="13" x14ac:dyDescent="0.15">
      <c r="A85" s="4" t="str">
        <f t="shared" si="0"/>
        <v>Opw 84 Hij wordt mij liever ied're dag</v>
      </c>
      <c r="B85" s="4">
        <v>84</v>
      </c>
      <c r="C85" s="4" t="s">
        <v>453</v>
      </c>
    </row>
    <row r="86" spans="1:3" ht="13" x14ac:dyDescent="0.15">
      <c r="A86" s="4" t="str">
        <f t="shared" si="0"/>
        <v>Opw 85 Eenmaal zullen wij de Koning zien</v>
      </c>
      <c r="B86" s="4">
        <v>85</v>
      </c>
      <c r="C86" s="4" t="s">
        <v>455</v>
      </c>
    </row>
    <row r="87" spans="1:3" ht="13" x14ac:dyDescent="0.15">
      <c r="A87" s="4" t="str">
        <f t="shared" si="0"/>
        <v>Opw 86 Zing en speel tot eer van Hem</v>
      </c>
      <c r="B87" s="4">
        <v>86</v>
      </c>
      <c r="C87" s="4" t="s">
        <v>458</v>
      </c>
    </row>
    <row r="88" spans="1:3" ht="13" x14ac:dyDescent="0.15">
      <c r="A88" s="4" t="str">
        <f t="shared" si="0"/>
        <v>Opw 87 Alle kind'ren mogen komen</v>
      </c>
      <c r="B88" s="4">
        <v>87</v>
      </c>
      <c r="C88" s="4" t="s">
        <v>460</v>
      </c>
    </row>
    <row r="89" spans="1:3" ht="13" x14ac:dyDescent="0.15">
      <c r="A89" s="4" t="str">
        <f t="shared" si="0"/>
        <v>Opw 88 Een rivier vol van vrede</v>
      </c>
      <c r="B89" s="4">
        <v>88</v>
      </c>
      <c r="C89" s="4" t="s">
        <v>462</v>
      </c>
    </row>
    <row r="90" spans="1:3" ht="13" x14ac:dyDescent="0.15">
      <c r="A90" s="4" t="str">
        <f t="shared" si="0"/>
        <v>Opw 89 Als ik mij herinner wat Hij deed voor mij</v>
      </c>
      <c r="B90" s="4">
        <v>89</v>
      </c>
      <c r="C90" s="4" t="s">
        <v>463</v>
      </c>
    </row>
    <row r="91" spans="1:3" ht="13" x14ac:dyDescent="0.15">
      <c r="A91" s="4" t="str">
        <f t="shared" si="0"/>
        <v>Opw 90 Daarginds ver in de hemel</v>
      </c>
      <c r="B91" s="4">
        <v>90</v>
      </c>
      <c r="C91" s="4" t="s">
        <v>465</v>
      </c>
    </row>
    <row r="92" spans="1:3" ht="13" x14ac:dyDescent="0.15">
      <c r="A92" s="4" t="str">
        <f t="shared" si="0"/>
        <v>Opw 91 Jezus houdt van alle kleine kinderen</v>
      </c>
      <c r="B92" s="4">
        <v>91</v>
      </c>
      <c r="C92" s="4" t="s">
        <v>466</v>
      </c>
    </row>
    <row r="93" spans="1:3" ht="13" x14ac:dyDescent="0.15">
      <c r="A93" s="4" t="str">
        <f t="shared" si="0"/>
        <v>Opw 92 Geef mij olie in mijn lamp</v>
      </c>
      <c r="B93" s="4">
        <v>92</v>
      </c>
      <c r="C93" s="4" t="s">
        <v>468</v>
      </c>
    </row>
    <row r="94" spans="1:3" ht="13" x14ac:dyDescent="0.15">
      <c r="A94" s="4" t="str">
        <f t="shared" si="0"/>
        <v>Opw 93 Jezus overwon de dood</v>
      </c>
      <c r="B94" s="4">
        <v>93</v>
      </c>
      <c r="C94" s="4" t="s">
        <v>469</v>
      </c>
    </row>
    <row r="95" spans="1:3" ht="13" x14ac:dyDescent="0.15">
      <c r="A95" s="4" t="str">
        <f t="shared" si="0"/>
        <v>Opw 94 Heel mijn leven wil ik wijden</v>
      </c>
      <c r="B95" s="4">
        <v>94</v>
      </c>
      <c r="C95" s="4" t="s">
        <v>471</v>
      </c>
    </row>
    <row r="96" spans="1:3" ht="13" x14ac:dyDescent="0.15">
      <c r="A96" s="4" t="str">
        <f t="shared" si="0"/>
        <v>Opw 95 Als j' een echte christen bent</v>
      </c>
      <c r="B96" s="4">
        <v>95</v>
      </c>
      <c r="C96" s="4" t="s">
        <v>472</v>
      </c>
    </row>
    <row r="97" spans="1:3" ht="13" x14ac:dyDescent="0.15">
      <c r="A97" s="4" t="str">
        <f t="shared" si="0"/>
        <v>Opw 96 Ik vouw mijn handen, Heer</v>
      </c>
      <c r="B97" s="4">
        <v>96</v>
      </c>
      <c r="C97" s="4" t="s">
        <v>474</v>
      </c>
    </row>
    <row r="98" spans="1:3" ht="13" x14ac:dyDescent="0.15">
      <c r="A98" s="4" t="str">
        <f t="shared" si="0"/>
        <v>Opw 97 De vensters des hemels zijn open</v>
      </c>
      <c r="B98" s="4">
        <v>97</v>
      </c>
      <c r="C98" s="4" t="s">
        <v>475</v>
      </c>
    </row>
    <row r="99" spans="1:3" ht="13" x14ac:dyDescent="0.15">
      <c r="A99" s="4" t="str">
        <f t="shared" si="0"/>
        <v>Opw 98 Eens was ik onverschillig</v>
      </c>
      <c r="B99" s="4">
        <v>98</v>
      </c>
      <c r="C99" s="4" t="s">
        <v>477</v>
      </c>
    </row>
    <row r="100" spans="1:3" ht="13" x14ac:dyDescent="0.15">
      <c r="A100" s="4" t="str">
        <f t="shared" si="0"/>
        <v>Opw 99 Volgen wil ik U, o trouwe Heer</v>
      </c>
      <c r="B100" s="4">
        <v>99</v>
      </c>
      <c r="C100" s="4" t="s">
        <v>479</v>
      </c>
    </row>
    <row r="101" spans="1:3" ht="13" x14ac:dyDescent="0.15">
      <c r="A101" s="4" t="str">
        <f t="shared" si="0"/>
        <v>Opw 100 Hohohohosanna</v>
      </c>
      <c r="B101" s="4">
        <v>100</v>
      </c>
      <c r="C101" s="4" t="s">
        <v>480</v>
      </c>
    </row>
    <row r="102" spans="1:3" ht="13" x14ac:dyDescent="0.15">
      <c r="A102" s="4" t="str">
        <f t="shared" si="0"/>
        <v>Opw 101 Ik ben zo blij, dat 'k een kind</v>
      </c>
      <c r="B102" s="4">
        <v>101</v>
      </c>
      <c r="C102" s="4" t="s">
        <v>482</v>
      </c>
    </row>
    <row r="103" spans="1:3" ht="13" x14ac:dyDescent="0.15">
      <c r="A103" s="4" t="str">
        <f t="shared" si="0"/>
        <v>Opw 102 Amen, prijs de Heer</v>
      </c>
      <c r="B103" s="4">
        <v>102</v>
      </c>
      <c r="C103" s="4" t="s">
        <v>483</v>
      </c>
    </row>
    <row r="104" spans="1:3" ht="13" x14ac:dyDescent="0.15">
      <c r="A104" s="4" t="str">
        <f t="shared" si="0"/>
        <v>Opw 103 David met zijn slinger</v>
      </c>
      <c r="B104" s="4">
        <v>103</v>
      </c>
      <c r="C104" s="4" t="s">
        <v>484</v>
      </c>
    </row>
    <row r="105" spans="1:3" ht="13" x14ac:dyDescent="0.15">
      <c r="A105" s="4" t="str">
        <f t="shared" si="0"/>
        <v>Opw 104 Weet je wel, o christen</v>
      </c>
      <c r="B105" s="4">
        <v>104</v>
      </c>
      <c r="C105" s="4" t="s">
        <v>486</v>
      </c>
    </row>
    <row r="106" spans="1:3" ht="13" x14ac:dyDescent="0.15">
      <c r="A106" s="4" t="str">
        <f t="shared" si="0"/>
        <v>Opw 105 Alles wat ik heb</v>
      </c>
      <c r="B106" s="4">
        <v>105</v>
      </c>
      <c r="C106" s="4" t="s">
        <v>488</v>
      </c>
    </row>
    <row r="107" spans="1:3" ht="13" x14ac:dyDescent="0.15">
      <c r="A107" s="4" t="str">
        <f t="shared" si="0"/>
        <v>Opw 106 Gezegend Hij, die komt</v>
      </c>
      <c r="B107" s="4">
        <v>106</v>
      </c>
      <c r="C107" s="4" t="s">
        <v>490</v>
      </c>
    </row>
    <row r="108" spans="1:3" ht="13" x14ac:dyDescent="0.15">
      <c r="A108" s="4" t="str">
        <f t="shared" si="0"/>
        <v>Opw 107 Kind'ren van Jezus</v>
      </c>
      <c r="B108" s="4">
        <v>107</v>
      </c>
      <c r="C108" s="4" t="s">
        <v>492</v>
      </c>
    </row>
    <row r="109" spans="1:3" ht="13" x14ac:dyDescent="0.15">
      <c r="A109" s="4" t="str">
        <f t="shared" si="0"/>
        <v>Opw 108 Prijst Hem, prijst Hem. Prijst Hem in de morgen</v>
      </c>
      <c r="B109" s="4">
        <v>108</v>
      </c>
      <c r="C109" s="4" t="s">
        <v>493</v>
      </c>
    </row>
    <row r="110" spans="1:3" ht="13" x14ac:dyDescent="0.15">
      <c r="A110" s="4" t="str">
        <f t="shared" si="0"/>
        <v>Opw 109 Wij zingen van Jezus</v>
      </c>
      <c r="B110" s="4">
        <v>109</v>
      </c>
      <c r="C110" s="4" t="s">
        <v>495</v>
      </c>
    </row>
    <row r="111" spans="1:3" ht="13" x14ac:dyDescent="0.15">
      <c r="A111" s="4" t="str">
        <f t="shared" si="0"/>
        <v>Opw 110 Jezus roept mij, ik zal volgen</v>
      </c>
      <c r="B111" s="4">
        <v>110</v>
      </c>
      <c r="C111" s="4" t="s">
        <v>497</v>
      </c>
    </row>
    <row r="112" spans="1:3" ht="13" x14ac:dyDescent="0.15">
      <c r="A112" s="4" t="str">
        <f t="shared" si="0"/>
        <v>Opw 111 U houdt uw hand, grote God op deez' aard</v>
      </c>
      <c r="B112" s="4">
        <v>111</v>
      </c>
      <c r="C112" s="4" t="s">
        <v>499</v>
      </c>
    </row>
    <row r="113" spans="1:3" ht="13" x14ac:dyDescent="0.15">
      <c r="A113" s="4" t="str">
        <f t="shared" si="0"/>
        <v>Opw 112 k Ben zo gelukkig</v>
      </c>
      <c r="B113" s="4">
        <v>112</v>
      </c>
      <c r="C113" s="6" t="s">
        <v>500</v>
      </c>
    </row>
    <row r="114" spans="1:3" ht="13" x14ac:dyDescent="0.15">
      <c r="A114" s="4" t="str">
        <f t="shared" si="0"/>
        <v>Opw 113 Al moet ik door het druk verkeer</v>
      </c>
      <c r="B114" s="4">
        <v>113</v>
      </c>
      <c r="C114" s="4" t="s">
        <v>501</v>
      </c>
    </row>
    <row r="115" spans="1:3" ht="13" x14ac:dyDescent="0.15">
      <c r="A115" s="4" t="str">
        <f t="shared" si="0"/>
        <v>Opw 114 Looft de Heer, want Hij is goed, trouw</v>
      </c>
      <c r="B115" s="4">
        <v>114</v>
      </c>
      <c r="C115" s="4" t="s">
        <v>502</v>
      </c>
    </row>
    <row r="116" spans="1:3" ht="13" x14ac:dyDescent="0.15">
      <c r="A116" s="4" t="str">
        <f t="shared" si="0"/>
        <v>Opw 115 Heilig, heilig, heilig is de Heer onze God</v>
      </c>
      <c r="B116" s="4">
        <v>115</v>
      </c>
      <c r="C116" s="4" t="s">
        <v>503</v>
      </c>
    </row>
    <row r="117" spans="1:3" ht="13" x14ac:dyDescent="0.15">
      <c r="A117" s="4" t="str">
        <f t="shared" si="0"/>
        <v>Opw 116 Jezus, naam boven alle naam</v>
      </c>
      <c r="B117" s="4">
        <v>116</v>
      </c>
      <c r="C117" s="4" t="s">
        <v>504</v>
      </c>
    </row>
    <row r="118" spans="1:3" ht="13" x14ac:dyDescent="0.15">
      <c r="A118" s="4" t="str">
        <f t="shared" si="0"/>
        <v>Opw 117 In het midden der gemeente</v>
      </c>
      <c r="B118" s="4">
        <v>117</v>
      </c>
      <c r="C118" s="4" t="s">
        <v>505</v>
      </c>
    </row>
    <row r="119" spans="1:3" ht="13" x14ac:dyDescent="0.15">
      <c r="A119" s="4" t="str">
        <f t="shared" si="0"/>
        <v>Opw 118 Vader, maak ons één</v>
      </c>
      <c r="B119" s="4">
        <v>118</v>
      </c>
      <c r="C119" s="4" t="s">
        <v>506</v>
      </c>
    </row>
    <row r="120" spans="1:3" ht="13" x14ac:dyDescent="0.15">
      <c r="A120" s="4" t="str">
        <f t="shared" si="0"/>
        <v>Opw 119 Ik zal U loven, Here</v>
      </c>
      <c r="B120" s="4">
        <v>119</v>
      </c>
      <c r="C120" s="4" t="s">
        <v>507</v>
      </c>
    </row>
    <row r="121" spans="1:3" ht="13" x14ac:dyDescent="0.15">
      <c r="A121" s="4" t="str">
        <f t="shared" si="0"/>
        <v>Opw 120 Ik verhoog U/Want U, o Heer, bent God, de Allerhoogste</v>
      </c>
      <c r="B121" s="4">
        <v>120</v>
      </c>
      <c r="C121" s="4" t="s">
        <v>508</v>
      </c>
    </row>
    <row r="122" spans="1:3" ht="13" x14ac:dyDescent="0.15">
      <c r="A122" s="4" t="str">
        <f t="shared" si="0"/>
        <v>Opw 121 De Here is mijn herder</v>
      </c>
      <c r="B122" s="4">
        <v>121</v>
      </c>
      <c r="C122" s="4" t="s">
        <v>509</v>
      </c>
    </row>
    <row r="123" spans="1:3" ht="13" x14ac:dyDescent="0.15">
      <c r="A123" s="4" t="str">
        <f t="shared" si="0"/>
        <v>Opw 122 Ik vermag alle dingen</v>
      </c>
      <c r="B123" s="4">
        <v>122</v>
      </c>
      <c r="C123" s="4" t="s">
        <v>510</v>
      </c>
    </row>
    <row r="124" spans="1:3" ht="13" x14ac:dyDescent="0.15">
      <c r="A124" s="4" t="str">
        <f t="shared" si="0"/>
        <v>Opw 123 Groot is uw trouw</v>
      </c>
      <c r="B124" s="4">
        <v>123</v>
      </c>
      <c r="C124" s="4" t="s">
        <v>511</v>
      </c>
    </row>
    <row r="125" spans="1:3" ht="13" x14ac:dyDescent="0.15">
      <c r="A125" s="4" t="str">
        <f t="shared" si="0"/>
        <v>Opw 124 Ik bouw op U</v>
      </c>
      <c r="B125" s="4">
        <v>124</v>
      </c>
      <c r="C125" s="4" t="s">
        <v>512</v>
      </c>
    </row>
    <row r="126" spans="1:3" ht="13" x14ac:dyDescent="0.15">
      <c r="A126" s="4" t="str">
        <f t="shared" si="0"/>
        <v>Opw 125 Heer, ik kom tot U, hoor naar mijn gebed</v>
      </c>
      <c r="B126" s="4">
        <v>125</v>
      </c>
      <c r="C126" s="4" t="s">
        <v>513</v>
      </c>
    </row>
    <row r="127" spans="1:3" ht="13" x14ac:dyDescent="0.15">
      <c r="A127" s="4" t="str">
        <f t="shared" si="0"/>
        <v>Opw 126 Jezus vol liefde</v>
      </c>
      <c r="B127" s="4">
        <v>126</v>
      </c>
      <c r="C127" s="4" t="s">
        <v>514</v>
      </c>
    </row>
    <row r="128" spans="1:3" ht="13" x14ac:dyDescent="0.15">
      <c r="A128" s="4" t="str">
        <f t="shared" si="0"/>
        <v>Opw 127 Wij eren en aanbidden U</v>
      </c>
      <c r="B128" s="4">
        <v>127</v>
      </c>
      <c r="C128" s="4" t="s">
        <v>515</v>
      </c>
    </row>
    <row r="129" spans="1:3" ht="13" x14ac:dyDescent="0.15">
      <c r="A129" s="4" t="str">
        <f t="shared" si="0"/>
        <v>Opw 128 In my life</v>
      </c>
      <c r="B129" s="4">
        <v>128</v>
      </c>
      <c r="C129" s="4" t="s">
        <v>516</v>
      </c>
    </row>
    <row r="130" spans="1:3" ht="13" x14ac:dyDescent="0.15">
      <c r="A130" s="4" t="str">
        <f t="shared" si="0"/>
        <v>Opw 129 Ruach</v>
      </c>
      <c r="B130" s="4">
        <v>129</v>
      </c>
      <c r="C130" s="4" t="s">
        <v>517</v>
      </c>
    </row>
    <row r="131" spans="1:3" ht="13" x14ac:dyDescent="0.15">
      <c r="A131" s="4" t="str">
        <f t="shared" si="0"/>
        <v>Opw 130 Wij prijzen U als Here</v>
      </c>
      <c r="B131" s="4">
        <v>130</v>
      </c>
      <c r="C131" s="4" t="s">
        <v>518</v>
      </c>
    </row>
    <row r="132" spans="1:3" ht="13" x14ac:dyDescent="0.15">
      <c r="A132" s="4" t="str">
        <f t="shared" si="0"/>
        <v>Opw 131 U komt de eer en glorie toe</v>
      </c>
      <c r="B132" s="4">
        <v>131</v>
      </c>
      <c r="C132" s="4" t="s">
        <v>519</v>
      </c>
    </row>
    <row r="133" spans="1:3" ht="13" x14ac:dyDescent="0.15">
      <c r="A133" s="4" t="str">
        <f t="shared" si="0"/>
        <v>Opw 132 Verhoogt de Here, onze God</v>
      </c>
      <c r="B133" s="4">
        <v>132</v>
      </c>
      <c r="C133" s="4" t="s">
        <v>520</v>
      </c>
    </row>
    <row r="134" spans="1:3" ht="13" x14ac:dyDescent="0.15">
      <c r="A134" s="4" t="str">
        <f t="shared" si="0"/>
        <v>Opw 133 Hoe lieflijk is uw woning</v>
      </c>
      <c r="B134" s="4">
        <v>133</v>
      </c>
      <c r="C134" s="4" t="s">
        <v>521</v>
      </c>
    </row>
    <row r="135" spans="1:3" ht="13" x14ac:dyDescent="0.15">
      <c r="A135" s="4" t="str">
        <f t="shared" si="0"/>
        <v>Opw 134 De Heer is mijn licht, mijn burcht en mijn redder</v>
      </c>
      <c r="B135" s="4">
        <v>134</v>
      </c>
      <c r="C135" s="4" t="s">
        <v>522</v>
      </c>
    </row>
    <row r="136" spans="1:3" ht="13" x14ac:dyDescent="0.15">
      <c r="A136" s="4" t="str">
        <f t="shared" si="0"/>
        <v>Opw 135 Halleluja, halleluja, Hij regeert</v>
      </c>
      <c r="B136" s="4">
        <v>135</v>
      </c>
      <c r="C136" s="4" t="s">
        <v>523</v>
      </c>
    </row>
    <row r="137" spans="1:3" ht="13" x14ac:dyDescent="0.15">
      <c r="A137" s="4" t="str">
        <f t="shared" si="0"/>
        <v>Opw 136 Abba, Vader, U alleen</v>
      </c>
      <c r="B137" s="4">
        <v>136</v>
      </c>
      <c r="C137" s="4" t="s">
        <v>524</v>
      </c>
    </row>
    <row r="138" spans="1:3" ht="13" x14ac:dyDescent="0.15">
      <c r="A138" s="4" t="str">
        <f t="shared" si="0"/>
        <v>Opw 137 King of kings and Lord of lords</v>
      </c>
      <c r="B138" s="4">
        <v>137</v>
      </c>
      <c r="C138" s="4" t="s">
        <v>525</v>
      </c>
    </row>
    <row r="139" spans="1:3" ht="13" x14ac:dyDescent="0.15">
      <c r="A139" s="4" t="str">
        <f t="shared" si="0"/>
        <v>Opw 138 Kom maar, wees blij en verheugd</v>
      </c>
      <c r="B139" s="4">
        <v>138</v>
      </c>
      <c r="C139" s="4" t="s">
        <v>526</v>
      </c>
    </row>
    <row r="140" spans="1:3" ht="13" x14ac:dyDescent="0.15">
      <c r="A140" s="4" t="str">
        <f t="shared" si="0"/>
        <v>Opw 139 In moments like these</v>
      </c>
      <c r="B140" s="4">
        <v>139</v>
      </c>
      <c r="C140" s="4" t="s">
        <v>527</v>
      </c>
    </row>
    <row r="141" spans="1:3" ht="13" x14ac:dyDescent="0.15">
      <c r="A141" s="4" t="str">
        <f t="shared" si="0"/>
        <v>Opw 140 Hemelse Vader, wat een liefde bent U</v>
      </c>
      <c r="B141" s="4">
        <v>140</v>
      </c>
      <c r="C141" s="4" t="s">
        <v>528</v>
      </c>
    </row>
    <row r="142" spans="1:3" ht="13" x14ac:dyDescent="0.15">
      <c r="A142" s="4" t="str">
        <f t="shared" si="0"/>
        <v>Opw 141 Hij is de Zoon van God</v>
      </c>
      <c r="B142" s="4">
        <v>141</v>
      </c>
      <c r="C142" s="4" t="s">
        <v>529</v>
      </c>
    </row>
    <row r="143" spans="1:3" ht="13" x14ac:dyDescent="0.15">
      <c r="A143" s="4" t="str">
        <f t="shared" si="0"/>
        <v>Opw 142 k Vertrouw op U</v>
      </c>
      <c r="B143" s="4">
        <v>142</v>
      </c>
      <c r="C143" s="6" t="s">
        <v>530</v>
      </c>
    </row>
    <row r="144" spans="1:3" ht="13" x14ac:dyDescent="0.15">
      <c r="A144" s="4" t="str">
        <f t="shared" si="0"/>
        <v>Opw 143 De Heer, uw God, in uw midden</v>
      </c>
      <c r="B144" s="4">
        <v>143</v>
      </c>
      <c r="C144" s="4" t="s">
        <v>531</v>
      </c>
    </row>
    <row r="145" spans="1:3" ht="13" x14ac:dyDescent="0.15">
      <c r="A145" s="4" t="str">
        <f t="shared" si="0"/>
        <v>Opw 144 Want uit Hem en door Hem</v>
      </c>
      <c r="B145" s="4">
        <v>144</v>
      </c>
      <c r="C145" s="4" t="s">
        <v>532</v>
      </c>
    </row>
    <row r="146" spans="1:3" ht="13" x14ac:dyDescent="0.15">
      <c r="A146" s="4" t="str">
        <f t="shared" si="0"/>
        <v>Opw 145 U zal ik loven, Heer</v>
      </c>
      <c r="B146" s="4">
        <v>145</v>
      </c>
      <c r="C146" s="4" t="s">
        <v>533</v>
      </c>
    </row>
    <row r="147" spans="1:3" ht="13" x14ac:dyDescent="0.15">
      <c r="A147" s="4" t="str">
        <f t="shared" si="0"/>
        <v>Opw 146 Immanuël, Immanuël</v>
      </c>
      <c r="B147" s="4">
        <v>146</v>
      </c>
      <c r="C147" s="4" t="s">
        <v>534</v>
      </c>
    </row>
    <row r="148" spans="1:3" ht="13" x14ac:dyDescent="0.15">
      <c r="A148" s="4" t="str">
        <f t="shared" si="0"/>
        <v>Opw 147 Father, we love You</v>
      </c>
      <c r="B148" s="4">
        <v>147</v>
      </c>
      <c r="C148" s="4" t="s">
        <v>535</v>
      </c>
    </row>
    <row r="149" spans="1:3" ht="13" x14ac:dyDescent="0.15">
      <c r="A149" s="4" t="str">
        <f t="shared" si="0"/>
        <v>Opw 148 Gods volk wordt uitgeleid</v>
      </c>
      <c r="B149" s="4">
        <v>148</v>
      </c>
      <c r="C149" s="4" t="s">
        <v>536</v>
      </c>
    </row>
    <row r="150" spans="1:3" ht="13" x14ac:dyDescent="0.15">
      <c r="A150" s="4" t="str">
        <f t="shared" si="0"/>
        <v>Opw 149 Heer, U riep mij</v>
      </c>
      <c r="B150" s="4">
        <v>149</v>
      </c>
      <c r="C150" s="4" t="s">
        <v>537</v>
      </c>
    </row>
    <row r="151" spans="1:3" ht="13" x14ac:dyDescent="0.15">
      <c r="A151" s="4" t="str">
        <f t="shared" si="0"/>
        <v>Opw 150 Ik hou van U</v>
      </c>
      <c r="B151" s="4">
        <v>150</v>
      </c>
      <c r="C151" s="4" t="s">
        <v>538</v>
      </c>
    </row>
    <row r="152" spans="1:3" ht="13" x14ac:dyDescent="0.15">
      <c r="A152" s="4" t="str">
        <f t="shared" si="0"/>
        <v>Opw 151 Laat ons juichen</v>
      </c>
      <c r="B152" s="4">
        <v>151</v>
      </c>
      <c r="C152" s="4" t="s">
        <v>539</v>
      </c>
    </row>
    <row r="153" spans="1:3" ht="13" x14ac:dyDescent="0.15">
      <c r="A153" s="4" t="str">
        <f t="shared" si="0"/>
        <v>Opw 152 O komt, prijst de Heer</v>
      </c>
      <c r="B153" s="4">
        <v>152</v>
      </c>
      <c r="C153" s="4" t="s">
        <v>540</v>
      </c>
    </row>
    <row r="154" spans="1:3" ht="13" x14ac:dyDescent="0.15">
      <c r="A154" s="4" t="str">
        <f t="shared" si="0"/>
        <v>Opw 153 Prijst de Heer, want de Heer is goed</v>
      </c>
      <c r="B154" s="4">
        <v>153</v>
      </c>
      <c r="C154" s="4" t="s">
        <v>541</v>
      </c>
    </row>
    <row r="155" spans="1:3" ht="13" x14ac:dyDescent="0.15">
      <c r="A155" s="4" t="str">
        <f t="shared" si="0"/>
        <v>Opw 154 Weest stil en weet</v>
      </c>
      <c r="B155" s="4">
        <v>154</v>
      </c>
      <c r="C155" s="4" t="s">
        <v>542</v>
      </c>
    </row>
    <row r="156" spans="1:3" ht="13" x14ac:dyDescent="0.15">
      <c r="A156" s="4" t="str">
        <f t="shared" si="0"/>
        <v>Opw 155 Hij is de Almachtige</v>
      </c>
      <c r="B156" s="4">
        <v>155</v>
      </c>
      <c r="C156" s="4" t="s">
        <v>543</v>
      </c>
    </row>
    <row r="157" spans="1:3" ht="13" x14ac:dyDescent="0.15">
      <c r="A157" s="4" t="str">
        <f t="shared" si="0"/>
        <v>Opw 156 Ik wil zingen van mijn Heer</v>
      </c>
      <c r="B157" s="4">
        <v>156</v>
      </c>
      <c r="C157" s="4" t="s">
        <v>544</v>
      </c>
    </row>
    <row r="158" spans="1:3" ht="13" x14ac:dyDescent="0.15">
      <c r="A158" s="4" t="str">
        <f t="shared" si="0"/>
        <v>Opw 157 Ik verblijd mij zeer in de Heer</v>
      </c>
      <c r="B158" s="4">
        <v>157</v>
      </c>
      <c r="C158" s="4" t="s">
        <v>545</v>
      </c>
    </row>
    <row r="159" spans="1:3" ht="13" x14ac:dyDescent="0.15">
      <c r="A159" s="4" t="str">
        <f t="shared" si="0"/>
        <v>Opw 158 Gij zijt mijn God</v>
      </c>
      <c r="B159" s="4">
        <v>158</v>
      </c>
      <c r="C159" s="4" t="s">
        <v>546</v>
      </c>
    </row>
    <row r="160" spans="1:3" ht="13" x14ac:dyDescent="0.15">
      <c r="A160" s="4" t="str">
        <f t="shared" si="0"/>
        <v>Opw 159 Here der heren</v>
      </c>
      <c r="B160" s="4">
        <v>159</v>
      </c>
      <c r="C160" s="4" t="s">
        <v>547</v>
      </c>
    </row>
    <row r="161" spans="1:3" ht="13" x14ac:dyDescent="0.15">
      <c r="A161" s="4" t="str">
        <f t="shared" si="0"/>
        <v>Opw 160 Don't build your house</v>
      </c>
      <c r="B161" s="4">
        <v>160</v>
      </c>
      <c r="C161" s="4" t="s">
        <v>548</v>
      </c>
    </row>
    <row r="162" spans="1:3" ht="13" x14ac:dyDescent="0.15">
      <c r="A162" s="4" t="str">
        <f t="shared" si="0"/>
        <v>Opw 161 Heer, geef mij ook uw waterbronnen</v>
      </c>
      <c r="B162" s="4">
        <v>161</v>
      </c>
      <c r="C162" s="4" t="s">
        <v>549</v>
      </c>
    </row>
    <row r="163" spans="1:3" ht="13" x14ac:dyDescent="0.15">
      <c r="A163" s="4" t="str">
        <f t="shared" si="0"/>
        <v>Opw 162 k Zal U loven, o Heer</v>
      </c>
      <c r="B163" s="4">
        <v>162</v>
      </c>
      <c r="C163" s="6" t="s">
        <v>550</v>
      </c>
    </row>
    <row r="164" spans="1:3" ht="13" x14ac:dyDescent="0.15">
      <c r="A164" s="4" t="str">
        <f t="shared" si="0"/>
        <v>Opw 163 O, Heer, U bent groot en almachtig</v>
      </c>
      <c r="B164" s="4">
        <v>163</v>
      </c>
      <c r="C164" s="4" t="s">
        <v>551</v>
      </c>
    </row>
    <row r="165" spans="1:3" ht="13" x14ac:dyDescent="0.15">
      <c r="A165" s="4" t="str">
        <f t="shared" si="0"/>
        <v>Opw 164 O, komt, aanbidt</v>
      </c>
      <c r="B165" s="4">
        <v>164</v>
      </c>
      <c r="C165" s="4" t="s">
        <v>552</v>
      </c>
    </row>
    <row r="166" spans="1:3" ht="13" x14ac:dyDescent="0.15">
      <c r="A166" s="4" t="str">
        <f t="shared" si="0"/>
        <v>Opw 165 Omdat we in U geloven</v>
      </c>
      <c r="B166" s="4">
        <v>165</v>
      </c>
      <c r="C166" s="4" t="s">
        <v>553</v>
      </c>
    </row>
    <row r="167" spans="1:3" ht="13" x14ac:dyDescent="0.15">
      <c r="A167" s="4" t="str">
        <f t="shared" si="0"/>
        <v>Opw 166 U bent de grote Koning</v>
      </c>
      <c r="B167" s="4">
        <v>166</v>
      </c>
      <c r="C167" s="4" t="s">
        <v>554</v>
      </c>
    </row>
    <row r="168" spans="1:3" ht="13" x14ac:dyDescent="0.15">
      <c r="A168" s="4" t="str">
        <f t="shared" si="0"/>
        <v>Opw 167 Samen in de naam van Jezus</v>
      </c>
      <c r="B168" s="4">
        <v>167</v>
      </c>
      <c r="C168" s="4" t="s">
        <v>555</v>
      </c>
    </row>
    <row r="169" spans="1:3" ht="13" x14ac:dyDescent="0.15">
      <c r="A169" s="4" t="str">
        <f t="shared" si="0"/>
        <v>Opw 168 Wij zien Jezus nu gekroond</v>
      </c>
      <c r="B169" s="4">
        <v>168</v>
      </c>
      <c r="C169" s="4" t="s">
        <v>556</v>
      </c>
    </row>
    <row r="170" spans="1:3" ht="13" x14ac:dyDescent="0.15">
      <c r="A170" s="4" t="str">
        <f t="shared" si="0"/>
        <v>Opw 169 Ik leef omdat mijn Heer is verrezen</v>
      </c>
      <c r="B170" s="4">
        <v>169</v>
      </c>
      <c r="C170" s="4" t="s">
        <v>557</v>
      </c>
    </row>
    <row r="171" spans="1:3" ht="13" x14ac:dyDescent="0.15">
      <c r="A171" s="4" t="str">
        <f t="shared" si="0"/>
        <v>Opw 170 Jezus, Jezus, uw liefde raakte mij aan</v>
      </c>
      <c r="B171" s="4">
        <v>170</v>
      </c>
      <c r="C171" s="4" t="s">
        <v>558</v>
      </c>
    </row>
    <row r="172" spans="1:3" ht="13" x14ac:dyDescent="0.15">
      <c r="A172" s="4" t="str">
        <f t="shared" si="0"/>
        <v>Opw 171 Door mijn God zal 'k strijdend</v>
      </c>
      <c r="B172" s="4">
        <v>171</v>
      </c>
      <c r="C172" s="4" t="s">
        <v>559</v>
      </c>
    </row>
    <row r="173" spans="1:3" ht="13" x14ac:dyDescent="0.15">
      <c r="A173" s="4" t="str">
        <f t="shared" si="0"/>
        <v>Opw 172 Heer, ik verheug m'in U en ik juich</v>
      </c>
      <c r="B173" s="4">
        <v>172</v>
      </c>
      <c r="C173" s="4" t="s">
        <v>560</v>
      </c>
    </row>
    <row r="174" spans="1:3" ht="13" x14ac:dyDescent="0.15">
      <c r="A174" s="4" t="str">
        <f t="shared" si="0"/>
        <v>Opw 173 Heilig is de Heer</v>
      </c>
      <c r="B174" s="4">
        <v>173</v>
      </c>
      <c r="C174" s="4" t="s">
        <v>561</v>
      </c>
    </row>
    <row r="175" spans="1:3" ht="13" x14ac:dyDescent="0.15">
      <c r="A175" s="4" t="str">
        <f t="shared" si="0"/>
        <v>Opw 174 Juicht, want Jezus is Heer</v>
      </c>
      <c r="B175" s="4">
        <v>174</v>
      </c>
      <c r="C175" s="4" t="s">
        <v>562</v>
      </c>
    </row>
    <row r="176" spans="1:3" ht="13" x14ac:dyDescent="0.15">
      <c r="A176" s="4" t="str">
        <f t="shared" si="0"/>
        <v>Opw 175 In de stilte van mijn hart</v>
      </c>
      <c r="B176" s="4">
        <v>175</v>
      </c>
      <c r="C176" s="4" t="s">
        <v>563</v>
      </c>
    </row>
    <row r="177" spans="1:3" ht="13" x14ac:dyDescent="0.15">
      <c r="A177" s="4" t="str">
        <f t="shared" si="0"/>
        <v>Opw 176 U bent mijn schuilplaats Heer</v>
      </c>
      <c r="B177" s="4">
        <v>176</v>
      </c>
      <c r="C177" s="4" t="s">
        <v>274</v>
      </c>
    </row>
    <row r="178" spans="1:3" ht="13" x14ac:dyDescent="0.15">
      <c r="A178" s="4" t="str">
        <f t="shared" si="0"/>
        <v>Opw 177 Bedenk al wat waar is</v>
      </c>
      <c r="B178" s="4">
        <v>177</v>
      </c>
      <c r="C178" s="4" t="s">
        <v>564</v>
      </c>
    </row>
    <row r="179" spans="1:3" ht="13" x14ac:dyDescent="0.15">
      <c r="A179" s="4" t="str">
        <f t="shared" si="0"/>
        <v>Opw 178 Waardig, o waardig bent U, Heer</v>
      </c>
      <c r="B179" s="4">
        <v>178</v>
      </c>
      <c r="C179" s="4" t="s">
        <v>565</v>
      </c>
    </row>
    <row r="180" spans="1:3" ht="13" x14ac:dyDescent="0.15">
      <c r="A180" s="4" t="str">
        <f t="shared" si="0"/>
        <v>Opw 179 k Hef mijn roep tot U, o Heer</v>
      </c>
      <c r="B180" s="4">
        <v>179</v>
      </c>
      <c r="C180" s="6" t="s">
        <v>566</v>
      </c>
    </row>
    <row r="181" spans="1:3" ht="13" x14ac:dyDescent="0.15">
      <c r="A181" s="4" t="str">
        <f t="shared" si="0"/>
        <v>Opw 180 Bron van licht en leven</v>
      </c>
      <c r="B181" s="4">
        <v>180</v>
      </c>
      <c r="C181" s="4" t="s">
        <v>567</v>
      </c>
    </row>
    <row r="182" spans="1:3" ht="13" x14ac:dyDescent="0.15">
      <c r="A182" s="4" t="str">
        <f t="shared" si="0"/>
        <v>Opw 181 Majesteit</v>
      </c>
      <c r="B182" s="4">
        <v>181</v>
      </c>
      <c r="C182" s="4" t="s">
        <v>568</v>
      </c>
    </row>
    <row r="183" spans="1:3" ht="13" x14ac:dyDescent="0.15">
      <c r="A183" s="4" t="str">
        <f t="shared" si="0"/>
        <v>Opw 182 O, Heer, U bent mijn God</v>
      </c>
      <c r="B183" s="4">
        <v>182</v>
      </c>
      <c r="C183" s="4" t="s">
        <v>569</v>
      </c>
    </row>
    <row r="184" spans="1:3" ht="13" x14ac:dyDescent="0.15">
      <c r="A184" s="4" t="str">
        <f t="shared" si="0"/>
        <v>Opw 183 U mag ik kennen o Heer</v>
      </c>
      <c r="B184" s="4">
        <v>183</v>
      </c>
      <c r="C184" s="4" t="s">
        <v>570</v>
      </c>
    </row>
    <row r="185" spans="1:3" ht="13" x14ac:dyDescent="0.15">
      <c r="A185" s="4" t="str">
        <f t="shared" si="0"/>
        <v>Opw 184 Wie op de Heer vertrouwen</v>
      </c>
      <c r="B185" s="4">
        <v>184</v>
      </c>
      <c r="C185" s="4" t="s">
        <v>571</v>
      </c>
    </row>
    <row r="186" spans="1:3" ht="13" x14ac:dyDescent="0.15">
      <c r="A186" s="4" t="str">
        <f t="shared" si="0"/>
        <v>Opw 185 Jezus is de Heer, Koning voor altijd</v>
      </c>
      <c r="B186" s="4">
        <v>185</v>
      </c>
      <c r="C186" s="4" t="s">
        <v>572</v>
      </c>
    </row>
    <row r="187" spans="1:3" ht="13" x14ac:dyDescent="0.15">
      <c r="A187" s="4" t="str">
        <f t="shared" si="0"/>
        <v>Opw 186 Hoe lieflijk op de bergen</v>
      </c>
      <c r="B187" s="4">
        <v>186</v>
      </c>
      <c r="C187" s="4" t="s">
        <v>573</v>
      </c>
    </row>
    <row r="188" spans="1:3" ht="13" x14ac:dyDescent="0.15">
      <c r="A188" s="4" t="str">
        <f t="shared" si="0"/>
        <v>Opw 187 Open mijn ogen, 'k wil Jezus, mijn Heer zien</v>
      </c>
      <c r="B188" s="4">
        <v>187</v>
      </c>
      <c r="C188" s="4" t="s">
        <v>574</v>
      </c>
    </row>
    <row r="189" spans="1:3" ht="13" x14ac:dyDescent="0.15">
      <c r="A189" s="4" t="str">
        <f t="shared" si="0"/>
        <v>Opw 188 Laat de heerlijkheid des Heren</v>
      </c>
      <c r="B189" s="4">
        <v>188</v>
      </c>
      <c r="C189" s="4" t="s">
        <v>575</v>
      </c>
    </row>
    <row r="190" spans="1:3" ht="13" x14ac:dyDescent="0.15">
      <c r="A190" s="4" t="str">
        <f t="shared" si="0"/>
        <v>Opw 189 Zegen ons Heer</v>
      </c>
      <c r="B190" s="4">
        <v>189</v>
      </c>
      <c r="C190" s="4" t="s">
        <v>576</v>
      </c>
    </row>
    <row r="191" spans="1:3" ht="13" x14ac:dyDescent="0.15">
      <c r="A191" s="4" t="str">
        <f t="shared" si="0"/>
        <v>Opw 190 Waarlijk, mijn ziel</v>
      </c>
      <c r="B191" s="4">
        <v>190</v>
      </c>
      <c r="C191" s="4" t="s">
        <v>577</v>
      </c>
    </row>
    <row r="192" spans="1:3" ht="13" x14ac:dyDescent="0.15">
      <c r="A192" s="4" t="str">
        <f t="shared" si="0"/>
        <v>Opw 191 Kom en prijs de Here, onze God</v>
      </c>
      <c r="B192" s="4">
        <v>191</v>
      </c>
      <c r="C192" s="4" t="s">
        <v>578</v>
      </c>
    </row>
    <row r="193" spans="1:3" ht="13" x14ac:dyDescent="0.15">
      <c r="A193" s="4" t="str">
        <f t="shared" si="0"/>
        <v>Opw 192 Ik kom in uw heiligdom binnen</v>
      </c>
      <c r="B193" s="4">
        <v>192</v>
      </c>
      <c r="C193" s="4" t="s">
        <v>579</v>
      </c>
    </row>
    <row r="194" spans="1:3" ht="13" x14ac:dyDescent="0.15">
      <c r="A194" s="4" t="str">
        <f t="shared" si="0"/>
        <v>Opw 193 Toon ons uw macht, o God</v>
      </c>
      <c r="B194" s="4">
        <v>193</v>
      </c>
      <c r="C194" s="4" t="s">
        <v>580</v>
      </c>
    </row>
    <row r="195" spans="1:3" ht="13" x14ac:dyDescent="0.15">
      <c r="A195" s="4" t="str">
        <f t="shared" si="0"/>
        <v>Opw 194 U maakt ons één</v>
      </c>
      <c r="B195" s="4">
        <v>194</v>
      </c>
      <c r="C195" s="4" t="s">
        <v>275</v>
      </c>
    </row>
    <row r="196" spans="1:3" ht="13" x14ac:dyDescent="0.15">
      <c r="A196" s="4" t="str">
        <f t="shared" si="0"/>
        <v>Opw 195 U, o Heer, bent een schild</v>
      </c>
      <c r="B196" s="4">
        <v>195</v>
      </c>
      <c r="C196" s="4" t="s">
        <v>581</v>
      </c>
    </row>
    <row r="197" spans="1:3" ht="13" x14ac:dyDescent="0.15">
      <c r="A197" s="4" t="str">
        <f t="shared" si="0"/>
        <v>Opw 196 Zing een lied tot de Heer</v>
      </c>
      <c r="B197" s="4">
        <v>196</v>
      </c>
      <c r="C197" s="4" t="s">
        <v>582</v>
      </c>
    </row>
    <row r="198" spans="1:3" ht="13" x14ac:dyDescent="0.15">
      <c r="A198" s="4" t="str">
        <f t="shared" si="0"/>
        <v>Opw 197 Heer, U bent wonderschoon</v>
      </c>
      <c r="B198" s="4">
        <v>197</v>
      </c>
      <c r="C198" s="4" t="s">
        <v>583</v>
      </c>
    </row>
    <row r="199" spans="1:3" ht="13" x14ac:dyDescent="0.15">
      <c r="A199" s="4" t="str">
        <f t="shared" si="0"/>
        <v>Opw 198 Laat ons loflied voor U zijn als reukwerk</v>
      </c>
      <c r="B199" s="4">
        <v>198</v>
      </c>
      <c r="C199" s="4" t="s">
        <v>584</v>
      </c>
    </row>
    <row r="200" spans="1:3" ht="13" x14ac:dyDescent="0.15">
      <c r="A200" s="4" t="str">
        <f t="shared" si="0"/>
        <v>Opw 199 Eer aan het Lam</v>
      </c>
      <c r="B200" s="4">
        <v>199</v>
      </c>
      <c r="C200" s="4" t="s">
        <v>585</v>
      </c>
    </row>
    <row r="201" spans="1:3" ht="13" x14ac:dyDescent="0.15">
      <c r="A201" s="4" t="str">
        <f t="shared" si="0"/>
        <v>Opw 200 Geloofd zijt Gij, o Heer</v>
      </c>
      <c r="B201" s="4">
        <v>200</v>
      </c>
      <c r="C201" s="4" t="s">
        <v>586</v>
      </c>
    </row>
    <row r="202" spans="1:3" ht="13" x14ac:dyDescent="0.15">
      <c r="A202" s="4" t="str">
        <f t="shared" si="0"/>
        <v>Opw 201 Wij danken U, Heer God almachtig</v>
      </c>
      <c r="B202" s="4">
        <v>201</v>
      </c>
      <c r="C202" s="4" t="s">
        <v>587</v>
      </c>
    </row>
    <row r="203" spans="1:3" ht="13" x14ac:dyDescent="0.15">
      <c r="A203" s="4" t="str">
        <f t="shared" si="0"/>
        <v>Opw 202 De Heer leert hoe ik strijden moet</v>
      </c>
      <c r="B203" s="4">
        <v>202</v>
      </c>
      <c r="C203" s="4" t="s">
        <v>588</v>
      </c>
    </row>
    <row r="204" spans="1:3" ht="13" x14ac:dyDescent="0.15">
      <c r="A204" s="4" t="str">
        <f t="shared" si="0"/>
        <v>Opw 203 Ik wil U prijzen Heer</v>
      </c>
      <c r="B204" s="4">
        <v>203</v>
      </c>
      <c r="C204" s="4" t="s">
        <v>589</v>
      </c>
    </row>
    <row r="205" spans="1:3" ht="13" x14ac:dyDescent="0.15">
      <c r="A205" s="4" t="str">
        <f t="shared" si="0"/>
        <v>Opw 204 Maak mij zoals U, Heer</v>
      </c>
      <c r="B205" s="4">
        <v>204</v>
      </c>
      <c r="C205" s="4" t="s">
        <v>590</v>
      </c>
    </row>
    <row r="206" spans="1:3" ht="13" x14ac:dyDescent="0.15">
      <c r="A206" s="4" t="str">
        <f t="shared" si="0"/>
        <v>Opw 205 U Heer, bent wonderschoon</v>
      </c>
      <c r="B206" s="4">
        <v>205</v>
      </c>
      <c r="C206" s="4" t="s">
        <v>591</v>
      </c>
    </row>
    <row r="207" spans="1:3" ht="13" x14ac:dyDescent="0.15">
      <c r="A207" s="4" t="str">
        <f t="shared" si="0"/>
        <v>Opw 206 Dank U Jezus, dank U Jezus</v>
      </c>
      <c r="B207" s="4">
        <v>206</v>
      </c>
      <c r="C207" s="4" t="s">
        <v>592</v>
      </c>
    </row>
    <row r="208" spans="1:3" ht="13" x14ac:dyDescent="0.15">
      <c r="A208" s="4" t="str">
        <f t="shared" si="0"/>
        <v>Opw 207 Welzalig Hij, wiens God de Here is/Mijn God, ik zal U verhogen</v>
      </c>
      <c r="B208" s="4">
        <v>207</v>
      </c>
      <c r="C208" s="4" t="s">
        <v>593</v>
      </c>
    </row>
    <row r="209" spans="1:3" ht="13" x14ac:dyDescent="0.15">
      <c r="A209" s="4" t="str">
        <f t="shared" si="0"/>
        <v>Opw 208 En ik zag en hoorde een stem</v>
      </c>
      <c r="B209" s="4">
        <v>208</v>
      </c>
      <c r="C209" s="4" t="s">
        <v>594</v>
      </c>
    </row>
    <row r="210" spans="1:3" ht="13" x14ac:dyDescent="0.15">
      <c r="A210" s="4" t="str">
        <f t="shared" si="0"/>
        <v>Opw 209 Zing halleluja en hef in geloof</v>
      </c>
      <c r="B210" s="4">
        <v>209</v>
      </c>
      <c r="C210" s="4" t="s">
        <v>595</v>
      </c>
    </row>
    <row r="211" spans="1:3" ht="13" x14ac:dyDescent="0.15">
      <c r="A211" s="4" t="str">
        <f t="shared" si="0"/>
        <v>Opw 210 Wie is aan U gelijk</v>
      </c>
      <c r="B211" s="4">
        <v>210</v>
      </c>
      <c r="C211" s="4" t="s">
        <v>596</v>
      </c>
    </row>
    <row r="212" spans="1:3" ht="13" x14ac:dyDescent="0.15">
      <c r="A212" s="4" t="str">
        <f t="shared" si="0"/>
        <v>Opw 211 O, die zaal'ge vreugd</v>
      </c>
      <c r="B212" s="4">
        <v>211</v>
      </c>
      <c r="C212" s="4" t="s">
        <v>597</v>
      </c>
    </row>
    <row r="213" spans="1:3" ht="13" x14ac:dyDescent="0.15">
      <c r="A213" s="4" t="str">
        <f t="shared" si="0"/>
        <v>Opw 212 Ziet de dag is daar</v>
      </c>
      <c r="B213" s="4">
        <v>212</v>
      </c>
      <c r="C213" s="4" t="s">
        <v>598</v>
      </c>
    </row>
    <row r="214" spans="1:3" ht="13" x14ac:dyDescent="0.15">
      <c r="A214" s="4" t="str">
        <f t="shared" si="0"/>
        <v>Opw 213 U zij de glorie opgestane Heer</v>
      </c>
      <c r="B214" s="4">
        <v>213</v>
      </c>
      <c r="C214" s="4" t="s">
        <v>599</v>
      </c>
    </row>
    <row r="215" spans="1:3" ht="13" x14ac:dyDescent="0.15">
      <c r="A215" s="4" t="str">
        <f t="shared" si="0"/>
        <v>Opw 214 Ik wandel in het licht met Jezus</v>
      </c>
      <c r="B215" s="4">
        <v>214</v>
      </c>
      <c r="C215" s="4" t="s">
        <v>600</v>
      </c>
    </row>
    <row r="216" spans="1:3" ht="13" x14ac:dyDescent="0.15">
      <c r="A216" s="4" t="str">
        <f t="shared" si="0"/>
        <v>Opw 215 De Heer is mijn herder en geen ding</v>
      </c>
      <c r="B216" s="4">
        <v>215</v>
      </c>
      <c r="C216" s="4" t="s">
        <v>601</v>
      </c>
    </row>
    <row r="217" spans="1:3" ht="13" x14ac:dyDescent="0.15">
      <c r="A217" s="4" t="str">
        <f t="shared" si="0"/>
        <v>Opw 216 Staand' op de beloften</v>
      </c>
      <c r="B217" s="4">
        <v>216</v>
      </c>
      <c r="C217" s="4" t="s">
        <v>602</v>
      </c>
    </row>
    <row r="218" spans="1:3" ht="13" x14ac:dyDescent="0.15">
      <c r="A218" s="4" t="str">
        <f t="shared" si="0"/>
        <v>Opw 217 O, welk een wond're Verlosser</v>
      </c>
      <c r="B218" s="4">
        <v>217</v>
      </c>
      <c r="C218" s="4" t="s">
        <v>603</v>
      </c>
    </row>
    <row r="219" spans="1:3" ht="13" x14ac:dyDescent="0.15">
      <c r="A219" s="4" t="str">
        <f t="shared" si="0"/>
        <v>Opw 218 Is hier een hart, door vrees benard</v>
      </c>
      <c r="B219" s="4">
        <v>218</v>
      </c>
      <c r="C219" s="4" t="s">
        <v>604</v>
      </c>
    </row>
    <row r="220" spans="1:3" ht="13" x14ac:dyDescent="0.15">
      <c r="A220" s="4" t="str">
        <f t="shared" si="0"/>
        <v>Opw 219 Juicht, aarde! Juicht alom de Heer</v>
      </c>
      <c r="B220" s="4">
        <v>219</v>
      </c>
      <c r="C220" s="4" t="s">
        <v>605</v>
      </c>
    </row>
    <row r="221" spans="1:3" ht="13" x14ac:dyDescent="0.15">
      <c r="A221" s="4" t="str">
        <f t="shared" si="0"/>
        <v>Opw 220 Volle verzeek'ring, Jezus is mijn!</v>
      </c>
      <c r="B221" s="4">
        <v>220</v>
      </c>
      <c r="C221" s="4" t="s">
        <v>606</v>
      </c>
    </row>
    <row r="222" spans="1:3" ht="13" x14ac:dyDescent="0.15">
      <c r="A222" s="4" t="str">
        <f t="shared" si="0"/>
        <v>Opw 221 Prijst de Heer met blijde galmen</v>
      </c>
      <c r="B222" s="4">
        <v>221</v>
      </c>
      <c r="C222" s="4" t="s">
        <v>607</v>
      </c>
    </row>
    <row r="223" spans="1:3" ht="13" x14ac:dyDescent="0.15">
      <c r="A223" s="4" t="str">
        <f t="shared" si="0"/>
        <v>Opw 222 Doorgrond mijn hart</v>
      </c>
      <c r="B223" s="4">
        <v>222</v>
      </c>
      <c r="C223" s="4" t="s">
        <v>608</v>
      </c>
    </row>
    <row r="224" spans="1:3" ht="13" x14ac:dyDescent="0.15">
      <c r="A224" s="4" t="str">
        <f t="shared" si="0"/>
        <v>Opw 223 Jezus, uw naam zij d'hoogste eer</v>
      </c>
      <c r="B224" s="4">
        <v>223</v>
      </c>
      <c r="C224" s="4" t="s">
        <v>609</v>
      </c>
    </row>
    <row r="225" spans="1:3" ht="13" x14ac:dyDescent="0.15">
      <c r="A225" s="4" t="str">
        <f t="shared" si="0"/>
        <v>Opw 224 Komt, laat ons zingen al te zaam</v>
      </c>
      <c r="B225" s="4">
        <v>224</v>
      </c>
      <c r="C225" s="4" t="s">
        <v>610</v>
      </c>
    </row>
    <row r="226" spans="1:3" ht="13" x14ac:dyDescent="0.15">
      <c r="A226" s="4" t="str">
        <f t="shared" si="0"/>
        <v>Opw 225 Verblijdt u in Jezus, uw Heer</v>
      </c>
      <c r="B226" s="4">
        <v>225</v>
      </c>
      <c r="C226" s="4" t="s">
        <v>611</v>
      </c>
    </row>
    <row r="227" spans="1:3" ht="13" x14ac:dyDescent="0.15">
      <c r="A227" s="4" t="str">
        <f t="shared" si="0"/>
        <v>Opw 226 Ik wil zingen van mijn Heiland</v>
      </c>
      <c r="B227" s="4">
        <v>226</v>
      </c>
      <c r="C227" s="4" t="s">
        <v>612</v>
      </c>
    </row>
    <row r="228" spans="1:3" ht="13" x14ac:dyDescent="0.15">
      <c r="A228" s="4" t="str">
        <f t="shared" si="0"/>
        <v>Opw 227 O heilig Lam van God</v>
      </c>
      <c r="B228" s="4">
        <v>227</v>
      </c>
      <c r="C228" s="4" t="s">
        <v>613</v>
      </c>
    </row>
    <row r="229" spans="1:3" ht="13" x14ac:dyDescent="0.15">
      <c r="A229" s="4" t="str">
        <f t="shared" si="0"/>
        <v>Opw 228 Wij zijn hier bijeen in Jezus' naam</v>
      </c>
      <c r="B229" s="4">
        <v>228</v>
      </c>
      <c r="C229" s="4" t="s">
        <v>614</v>
      </c>
    </row>
    <row r="230" spans="1:3" ht="13" x14ac:dyDescent="0.15">
      <c r="A230" s="4" t="str">
        <f t="shared" si="0"/>
        <v>Opw 229 O, geeft aan de Heer</v>
      </c>
      <c r="B230" s="4">
        <v>229</v>
      </c>
      <c r="C230" s="4" t="s">
        <v>615</v>
      </c>
    </row>
    <row r="231" spans="1:3" ht="13" x14ac:dyDescent="0.15">
      <c r="A231" s="4" t="str">
        <f t="shared" si="0"/>
        <v>Opw 230 Want Ik maak Mij een geest'lijke tempel</v>
      </c>
      <c r="B231" s="4">
        <v>230</v>
      </c>
      <c r="C231" s="4" t="s">
        <v>616</v>
      </c>
    </row>
    <row r="232" spans="1:3" ht="13" x14ac:dyDescent="0.15">
      <c r="A232" s="4" t="str">
        <f t="shared" si="0"/>
        <v>Opw 231 Als wij zingend komen voor zijn majesteit</v>
      </c>
      <c r="B232" s="4">
        <v>231</v>
      </c>
      <c r="C232" s="4" t="s">
        <v>617</v>
      </c>
    </row>
    <row r="233" spans="1:3" ht="13" x14ac:dyDescent="0.15">
      <c r="A233" s="4" t="str">
        <f t="shared" si="0"/>
        <v>Opw 232 Lof, eer, aanbidding voor U, Heer Jezus</v>
      </c>
      <c r="B233" s="4">
        <v>232</v>
      </c>
      <c r="C233" s="4" t="s">
        <v>618</v>
      </c>
    </row>
    <row r="234" spans="1:3" ht="13" x14ac:dyDescent="0.15">
      <c r="A234" s="4" t="str">
        <f t="shared" si="0"/>
        <v>Opw 233 Koning Jezus, heers</v>
      </c>
      <c r="B234" s="4">
        <v>233</v>
      </c>
      <c r="C234" s="4" t="s">
        <v>619</v>
      </c>
    </row>
    <row r="235" spans="1:3" ht="13" x14ac:dyDescent="0.15">
      <c r="A235" s="4" t="str">
        <f t="shared" si="0"/>
        <v>Opw 234 Komt nu zijn poorten met dankzegging binnen</v>
      </c>
      <c r="B235" s="4">
        <v>234</v>
      </c>
      <c r="C235" s="4" t="s">
        <v>620</v>
      </c>
    </row>
    <row r="236" spans="1:3" ht="13" x14ac:dyDescent="0.15">
      <c r="A236" s="4" t="str">
        <f t="shared" si="0"/>
        <v>Opw 235 t Is nu het uur</v>
      </c>
      <c r="B236" s="4">
        <v>235</v>
      </c>
      <c r="C236" s="6" t="s">
        <v>621</v>
      </c>
    </row>
    <row r="237" spans="1:3" ht="13" x14ac:dyDescent="0.15">
      <c r="A237" s="4" t="str">
        <f t="shared" si="0"/>
        <v>Opw 236 Heilig, heilig, heilig, Here God almachtig</v>
      </c>
      <c r="B237" s="4">
        <v>236</v>
      </c>
      <c r="C237" s="4" t="s">
        <v>622</v>
      </c>
    </row>
    <row r="238" spans="1:3" ht="13" x14ac:dyDescent="0.15">
      <c r="A238" s="4" t="str">
        <f t="shared" si="0"/>
        <v>Opw 237 Jezus, wij verhogen U</v>
      </c>
      <c r="B238" s="4">
        <v>237</v>
      </c>
      <c r="C238" s="4" t="s">
        <v>623</v>
      </c>
    </row>
    <row r="239" spans="1:3" ht="13" x14ac:dyDescent="0.15">
      <c r="A239" s="4" t="str">
        <f t="shared" si="0"/>
        <v>Opw 238 U bent waardig, dat wij U prijzen</v>
      </c>
      <c r="B239" s="4">
        <v>238</v>
      </c>
      <c r="C239" s="4" t="s">
        <v>624</v>
      </c>
    </row>
    <row r="240" spans="1:3" ht="13" x14ac:dyDescent="0.15">
      <c r="A240" s="4" t="str">
        <f t="shared" si="0"/>
        <v>Opw 239 Kom, Leeuw van Juda en Gods Zoon</v>
      </c>
      <c r="B240" s="4">
        <v>239</v>
      </c>
      <c r="C240" s="4" t="s">
        <v>625</v>
      </c>
    </row>
    <row r="241" spans="1:3" ht="13" x14ac:dyDescent="0.15">
      <c r="A241" s="4" t="str">
        <f t="shared" si="0"/>
        <v>Opw 240 Hosanna, hosanna, de Koning komt</v>
      </c>
      <c r="B241" s="4">
        <v>240</v>
      </c>
      <c r="C241" s="4" t="s">
        <v>626</v>
      </c>
    </row>
    <row r="242" spans="1:3" ht="13" x14ac:dyDescent="0.15">
      <c r="A242" s="4" t="str">
        <f t="shared" si="0"/>
        <v>Opw 241 Zing tot de glorie van God</v>
      </c>
      <c r="B242" s="4">
        <v>241</v>
      </c>
      <c r="C242" s="4" t="s">
        <v>627</v>
      </c>
    </row>
    <row r="243" spans="1:3" ht="13" x14ac:dyDescent="0.15">
      <c r="A243" s="4" t="str">
        <f t="shared" si="0"/>
        <v>Opw 242 Met vreugde zal ik tot U zingen Heer</v>
      </c>
      <c r="B243" s="4">
        <v>242</v>
      </c>
      <c r="C243" s="4" t="s">
        <v>628</v>
      </c>
    </row>
    <row r="244" spans="1:3" ht="13" x14ac:dyDescent="0.15">
      <c r="A244" s="4" t="str">
        <f t="shared" si="0"/>
        <v>Opw 243 Jezus is Heer, je ziet het om je heen</v>
      </c>
      <c r="B244" s="4">
        <v>243</v>
      </c>
      <c r="C244" s="4" t="s">
        <v>629</v>
      </c>
    </row>
    <row r="245" spans="1:3" ht="13" x14ac:dyDescent="0.15">
      <c r="A245" s="4" t="str">
        <f t="shared" si="0"/>
        <v>Opw 244 Welzalig de man, die niet wandelt</v>
      </c>
      <c r="B245" s="4">
        <v>244</v>
      </c>
      <c r="C245" s="4" t="s">
        <v>630</v>
      </c>
    </row>
    <row r="246" spans="1:3" ht="13" x14ac:dyDescent="0.15">
      <c r="A246" s="4" t="str">
        <f t="shared" si="0"/>
        <v>Opw 245 Hier in uw heiligdom</v>
      </c>
      <c r="B246" s="4">
        <v>245</v>
      </c>
      <c r="C246" s="4" t="s">
        <v>631</v>
      </c>
    </row>
    <row r="247" spans="1:3" ht="13" x14ac:dyDescent="0.15">
      <c r="A247" s="4" t="str">
        <f t="shared" si="0"/>
        <v>Opw 246 Koning Jezus, prijst Koning Jezus</v>
      </c>
      <c r="B247" s="4">
        <v>246</v>
      </c>
      <c r="C247" s="4" t="s">
        <v>632</v>
      </c>
    </row>
    <row r="248" spans="1:3" ht="13" x14ac:dyDescent="0.15">
      <c r="A248" s="4" t="str">
        <f t="shared" si="0"/>
        <v>Opw 247 Shalom, shalom, shalom</v>
      </c>
      <c r="B248" s="4">
        <v>247</v>
      </c>
      <c r="C248" s="4" t="s">
        <v>633</v>
      </c>
    </row>
    <row r="249" spans="1:3" ht="13" x14ac:dyDescent="0.15">
      <c r="A249" s="4" t="str">
        <f t="shared" si="0"/>
        <v>Opw 248 God is getrouw, zijn plannen falen niet</v>
      </c>
      <c r="B249" s="4">
        <v>248</v>
      </c>
      <c r="C249" s="4" t="s">
        <v>634</v>
      </c>
    </row>
    <row r="250" spans="1:3" ht="13" x14ac:dyDescent="0.15">
      <c r="A250" s="4" t="str">
        <f t="shared" si="0"/>
        <v>Opw 249 Heer, wat een voorrecht/Samen werken</v>
      </c>
      <c r="B250" s="4">
        <v>249</v>
      </c>
      <c r="C250" s="4" t="s">
        <v>635</v>
      </c>
    </row>
    <row r="251" spans="1:3" ht="13" x14ac:dyDescent="0.15">
      <c r="A251" s="4" t="str">
        <f t="shared" si="0"/>
        <v>Opw 250 Hosanna, Zoon van David/Zingt Gode, psalmzingt zijn naam</v>
      </c>
      <c r="B251" s="4">
        <v>250</v>
      </c>
      <c r="C251" s="4" t="s">
        <v>636</v>
      </c>
    </row>
    <row r="252" spans="1:3" ht="13" x14ac:dyDescent="0.15">
      <c r="A252" s="4" t="str">
        <f t="shared" si="0"/>
        <v>Opw 251 Zing een vrolijk liedje voor Immanuël</v>
      </c>
      <c r="B252" s="4">
        <v>251</v>
      </c>
      <c r="C252" s="4" t="s">
        <v>637</v>
      </c>
    </row>
    <row r="253" spans="1:3" ht="13" x14ac:dyDescent="0.15">
      <c r="A253" s="4" t="str">
        <f t="shared" si="0"/>
        <v>Opw 252 Heer, doorgrond mijn hart</v>
      </c>
      <c r="B253" s="4">
        <v>252</v>
      </c>
      <c r="C253" s="4" t="s">
        <v>638</v>
      </c>
    </row>
    <row r="254" spans="1:3" ht="13" x14ac:dyDescent="0.15">
      <c r="A254" s="4" t="str">
        <f t="shared" si="0"/>
        <v>Opw 253 Heilig, heilig, heilig Heer</v>
      </c>
      <c r="B254" s="4">
        <v>253</v>
      </c>
      <c r="C254" s="4" t="s">
        <v>639</v>
      </c>
    </row>
    <row r="255" spans="1:3" ht="13" x14ac:dyDescent="0.15">
      <c r="A255" s="4" t="str">
        <f t="shared" si="0"/>
        <v>Opw 254 Prijs nu de Heer</v>
      </c>
      <c r="B255" s="4">
        <v>254</v>
      </c>
      <c r="C255" s="4" t="s">
        <v>640</v>
      </c>
    </row>
    <row r="256" spans="1:3" ht="13" x14ac:dyDescent="0.15">
      <c r="A256" s="4" t="str">
        <f t="shared" si="0"/>
        <v>Opw 255 k Wil U prijzen Heer</v>
      </c>
      <c r="B256" s="4">
        <v>255</v>
      </c>
      <c r="C256" s="6" t="s">
        <v>641</v>
      </c>
    </row>
    <row r="257" spans="1:3" ht="13" x14ac:dyDescent="0.15">
      <c r="A257" s="4" t="str">
        <f t="shared" si="0"/>
        <v>Opw 256 Jezus Christus, ik aanbid U</v>
      </c>
      <c r="B257" s="4">
        <v>256</v>
      </c>
      <c r="C257" s="4" t="s">
        <v>642</v>
      </c>
    </row>
    <row r="258" spans="1:3" ht="13" x14ac:dyDescent="0.15">
      <c r="A258" s="4" t="str">
        <f t="shared" ref="A258:A512" si="1">IF(NOT(ISBLANK(B258)), CONCATENATE("Opw ", B258, " ", C258), "")</f>
        <v>Opw 257 Uw lieflijk aangezicht</v>
      </c>
      <c r="B258" s="4">
        <v>257</v>
      </c>
      <c r="C258" s="4" t="s">
        <v>643</v>
      </c>
    </row>
    <row r="259" spans="1:3" ht="13" x14ac:dyDescent="0.15">
      <c r="A259" s="4" t="str">
        <f t="shared" si="1"/>
        <v>Opw 258 Blijdschap vervult mijn hart vandaag</v>
      </c>
      <c r="B259" s="4">
        <v>258</v>
      </c>
      <c r="C259" s="4" t="s">
        <v>644</v>
      </c>
    </row>
    <row r="260" spans="1:3" ht="13" x14ac:dyDescent="0.15">
      <c r="A260" s="4" t="str">
        <f t="shared" si="1"/>
        <v>Opw 259 Want zijn naam is verheven</v>
      </c>
      <c r="B260" s="4">
        <v>259</v>
      </c>
      <c r="C260" s="4" t="s">
        <v>645</v>
      </c>
    </row>
    <row r="261" spans="1:3" ht="13" x14ac:dyDescent="0.15">
      <c r="A261" s="4" t="str">
        <f t="shared" si="1"/>
        <v>Opw 260 Het is volbracht</v>
      </c>
      <c r="B261" s="4">
        <v>260</v>
      </c>
      <c r="C261" s="4" t="s">
        <v>646</v>
      </c>
    </row>
    <row r="262" spans="1:3" ht="13" x14ac:dyDescent="0.15">
      <c r="A262" s="4" t="str">
        <f t="shared" si="1"/>
        <v>Opw 261 Abba Vader</v>
      </c>
      <c r="B262" s="4">
        <v>261</v>
      </c>
      <c r="C262" s="4" t="s">
        <v>647</v>
      </c>
    </row>
    <row r="263" spans="1:3" ht="13" x14ac:dyDescent="0.15">
      <c r="A263" s="4" t="str">
        <f t="shared" si="1"/>
        <v>Opw 262 Sta op, o kind'ren van Israël</v>
      </c>
      <c r="B263" s="4">
        <v>262</v>
      </c>
      <c r="C263" s="4" t="s">
        <v>648</v>
      </c>
    </row>
    <row r="264" spans="1:3" ht="13" x14ac:dyDescent="0.15">
      <c r="A264" s="4" t="str">
        <f t="shared" si="1"/>
        <v>Opw 263 Er is een Verlosser</v>
      </c>
      <c r="B264" s="4">
        <v>263</v>
      </c>
      <c r="C264" s="4" t="s">
        <v>649</v>
      </c>
    </row>
    <row r="265" spans="1:3" ht="13" x14ac:dyDescent="0.15">
      <c r="A265" s="4" t="str">
        <f t="shared" si="1"/>
        <v>Opw 264 Waardig is het Lam, alle lof</v>
      </c>
      <c r="B265" s="4">
        <v>264</v>
      </c>
      <c r="C265" s="4" t="s">
        <v>650</v>
      </c>
    </row>
    <row r="266" spans="1:3" ht="13" x14ac:dyDescent="0.15">
      <c r="A266" s="4" t="str">
        <f t="shared" si="1"/>
        <v>Opw 265 Groot is de Heer en machtig</v>
      </c>
      <c r="B266" s="4">
        <v>265</v>
      </c>
      <c r="C266" s="4" t="s">
        <v>651</v>
      </c>
    </row>
    <row r="267" spans="1:3" ht="13" x14ac:dyDescent="0.15">
      <c r="A267" s="4" t="str">
        <f t="shared" si="1"/>
        <v>Opw 266 Heer, U leidde mij in de wildernis</v>
      </c>
      <c r="B267" s="4">
        <v>266</v>
      </c>
      <c r="C267" s="4" t="s">
        <v>652</v>
      </c>
    </row>
    <row r="268" spans="1:3" ht="13" x14ac:dyDescent="0.15">
      <c r="A268" s="4" t="str">
        <f t="shared" si="1"/>
        <v>Opw 267 Groot is de Heer, Hij is heilig en goed</v>
      </c>
      <c r="B268" s="4">
        <v>267</v>
      </c>
      <c r="C268" s="4" t="s">
        <v>653</v>
      </c>
    </row>
    <row r="269" spans="1:3" ht="13" x14ac:dyDescent="0.15">
      <c r="A269" s="4" t="str">
        <f t="shared" si="1"/>
        <v>Opw 268 Hij kwam bij ons, heel gewoon</v>
      </c>
      <c r="B269" s="4">
        <v>268</v>
      </c>
      <c r="C269" s="4" t="s">
        <v>654</v>
      </c>
    </row>
    <row r="270" spans="1:3" ht="13" x14ac:dyDescent="0.15">
      <c r="A270" s="4" t="str">
        <f t="shared" si="1"/>
        <v>Opw 269 Baruch ha-Shem Adonai</v>
      </c>
      <c r="B270" s="4">
        <v>269</v>
      </c>
      <c r="C270" s="4" t="s">
        <v>655</v>
      </c>
    </row>
    <row r="271" spans="1:3" ht="13" x14ac:dyDescent="0.15">
      <c r="A271" s="4" t="str">
        <f t="shared" si="1"/>
        <v>Opw 270 Wie is God behalve onze Heer?</v>
      </c>
      <c r="B271" s="4">
        <v>270</v>
      </c>
      <c r="C271" s="4" t="s">
        <v>656</v>
      </c>
    </row>
    <row r="272" spans="1:3" ht="13" x14ac:dyDescent="0.15">
      <c r="A272" s="4" t="str">
        <f t="shared" si="1"/>
        <v>Opw 271 Want U bent machtig</v>
      </c>
      <c r="B272" s="4">
        <v>271</v>
      </c>
      <c r="C272" s="4" t="s">
        <v>657</v>
      </c>
    </row>
    <row r="273" spans="1:3" ht="13" x14ac:dyDescent="0.15">
      <c r="A273" s="4" t="str">
        <f t="shared" si="1"/>
        <v>Opw 272 Ik dank U wel, mijn Vader</v>
      </c>
      <c r="B273" s="4">
        <v>272</v>
      </c>
      <c r="C273" s="4" t="s">
        <v>658</v>
      </c>
    </row>
    <row r="274" spans="1:3" ht="13" x14ac:dyDescent="0.15">
      <c r="A274" s="4" t="str">
        <f t="shared" si="1"/>
        <v>Opw 273 Lofoffers brengen wij aan U</v>
      </c>
      <c r="B274" s="4">
        <v>273</v>
      </c>
      <c r="C274" s="4" t="s">
        <v>659</v>
      </c>
    </row>
    <row r="275" spans="1:3" ht="13" x14ac:dyDescent="0.15">
      <c r="A275" s="4" t="str">
        <f t="shared" si="1"/>
        <v>Opw 274 God is goed, komt, zingt en jubelt</v>
      </c>
      <c r="B275" s="4">
        <v>274</v>
      </c>
      <c r="C275" s="4" t="s">
        <v>660</v>
      </c>
    </row>
    <row r="276" spans="1:3" ht="13" x14ac:dyDescent="0.15">
      <c r="A276" s="4" t="str">
        <f t="shared" si="1"/>
        <v>Opw 275 Wij zijn hier gekomen</v>
      </c>
      <c r="B276" s="4">
        <v>275</v>
      </c>
      <c r="C276" s="4" t="s">
        <v>661</v>
      </c>
    </row>
    <row r="277" spans="1:3" ht="13" x14ac:dyDescent="0.15">
      <c r="A277" s="4" t="str">
        <f t="shared" si="1"/>
        <v>Opw 276 Laat heel de wereld het zien</v>
      </c>
      <c r="B277" s="4">
        <v>276</v>
      </c>
      <c r="C277" s="4" t="s">
        <v>662</v>
      </c>
    </row>
    <row r="278" spans="1:3" ht="13" x14ac:dyDescent="0.15">
      <c r="A278" s="4" t="str">
        <f t="shared" si="1"/>
        <v>Opw 277 Machtig God, sterke Rots</v>
      </c>
      <c r="B278" s="4">
        <v>277</v>
      </c>
      <c r="C278" s="4" t="s">
        <v>663</v>
      </c>
    </row>
    <row r="279" spans="1:3" ht="13" x14ac:dyDescent="0.15">
      <c r="A279" s="4" t="str">
        <f t="shared" si="1"/>
        <v>Opw 278 Juicht de Here, gij ganse aarde</v>
      </c>
      <c r="B279" s="4">
        <v>278</v>
      </c>
      <c r="C279" s="4" t="s">
        <v>664</v>
      </c>
    </row>
    <row r="280" spans="1:3" ht="13" x14ac:dyDescent="0.15">
      <c r="A280" s="4" t="str">
        <f t="shared" si="1"/>
        <v>Opw 279 Ik wil zingen halleluja</v>
      </c>
      <c r="B280" s="4">
        <v>279</v>
      </c>
      <c r="C280" s="4" t="s">
        <v>665</v>
      </c>
    </row>
    <row r="281" spans="1:3" ht="13" x14ac:dyDescent="0.15">
      <c r="A281" s="4" t="str">
        <f t="shared" si="1"/>
        <v>Opw 280 Majesteit, wij eren U, Majesteit</v>
      </c>
      <c r="B281" s="4">
        <v>280</v>
      </c>
      <c r="C281" s="4" t="s">
        <v>666</v>
      </c>
    </row>
    <row r="282" spans="1:3" ht="13" x14ac:dyDescent="0.15">
      <c r="A282" s="4" t="str">
        <f t="shared" si="1"/>
        <v>Opw 281 Als een hert dat verlangt naar water</v>
      </c>
      <c r="B282" s="4">
        <v>281</v>
      </c>
      <c r="C282" s="4" t="s">
        <v>667</v>
      </c>
    </row>
    <row r="283" spans="1:3" ht="13" x14ac:dyDescent="0.15">
      <c r="A283" s="4" t="str">
        <f t="shared" si="1"/>
        <v>Opw 282 k Zegen U, Heer</v>
      </c>
      <c r="B283" s="4">
        <v>282</v>
      </c>
      <c r="C283" s="6" t="s">
        <v>668</v>
      </c>
    </row>
    <row r="284" spans="1:3" ht="13" x14ac:dyDescent="0.15">
      <c r="A284" s="4" t="str">
        <f t="shared" si="1"/>
        <v>Opw 283 Eer aan de Vader</v>
      </c>
      <c r="B284" s="4">
        <v>283</v>
      </c>
      <c r="C284" s="4" t="s">
        <v>669</v>
      </c>
    </row>
    <row r="285" spans="1:3" ht="13" x14ac:dyDescent="0.15">
      <c r="A285" s="4" t="str">
        <f t="shared" si="1"/>
        <v>Opw 284 Maak groot de Here</v>
      </c>
      <c r="B285" s="4">
        <v>284</v>
      </c>
      <c r="C285" s="4" t="s">
        <v>670</v>
      </c>
    </row>
    <row r="286" spans="1:3" ht="13" x14ac:dyDescent="0.15">
      <c r="A286" s="4" t="str">
        <f t="shared" si="1"/>
        <v>Opw 285 Ik hou van U, o Heer</v>
      </c>
      <c r="B286" s="4">
        <v>285</v>
      </c>
      <c r="C286" s="4" t="s">
        <v>671</v>
      </c>
    </row>
    <row r="287" spans="1:3" ht="13" x14ac:dyDescent="0.15">
      <c r="A287" s="4" t="str">
        <f t="shared" si="1"/>
        <v>Opw 286 Zing een vreugdelied</v>
      </c>
      <c r="B287" s="4">
        <v>286</v>
      </c>
      <c r="C287" s="4" t="s">
        <v>672</v>
      </c>
    </row>
    <row r="288" spans="1:3" ht="13" x14ac:dyDescent="0.15">
      <c r="A288" s="4" t="str">
        <f t="shared" si="1"/>
        <v>Opw 287 Prijs Hem, prijs Hem, geef Hem dank en eer</v>
      </c>
      <c r="B288" s="4">
        <v>287</v>
      </c>
      <c r="C288" s="4" t="s">
        <v>673</v>
      </c>
    </row>
    <row r="289" spans="1:3" ht="13" x14ac:dyDescent="0.15">
      <c r="A289" s="4" t="str">
        <f t="shared" si="1"/>
        <v>Opw 288 Hef je hoofd omhoog</v>
      </c>
      <c r="B289" s="4">
        <v>288</v>
      </c>
      <c r="C289" s="4" t="s">
        <v>674</v>
      </c>
    </row>
    <row r="290" spans="1:3" ht="13" x14ac:dyDescent="0.15">
      <c r="A290" s="4" t="str">
        <f t="shared" si="1"/>
        <v>Opw 289 U hebt de overwinning behaald</v>
      </c>
      <c r="B290" s="4">
        <v>289</v>
      </c>
      <c r="C290" s="4" t="s">
        <v>675</v>
      </c>
    </row>
    <row r="291" spans="1:3" ht="13" x14ac:dyDescent="0.15">
      <c r="A291" s="4" t="str">
        <f t="shared" si="1"/>
        <v>Opw 290 Hemelse Vader, hoor, wij eren U</v>
      </c>
      <c r="B291" s="4">
        <v>290</v>
      </c>
      <c r="C291" s="4" t="s">
        <v>676</v>
      </c>
    </row>
    <row r="292" spans="1:3" ht="13" x14ac:dyDescent="0.15">
      <c r="A292" s="4" t="str">
        <f t="shared" si="1"/>
        <v>Opw 291 Vader God, ik ben vol lof</v>
      </c>
      <c r="B292" s="4">
        <v>291</v>
      </c>
      <c r="C292" s="4" t="s">
        <v>677</v>
      </c>
    </row>
    <row r="293" spans="1:3" ht="13" x14ac:dyDescent="0.15">
      <c r="A293" s="4" t="str">
        <f t="shared" si="1"/>
        <v>Opw 292 Laat mijn leven tot eer zijn van uw naam</v>
      </c>
      <c r="B293" s="4">
        <v>292</v>
      </c>
      <c r="C293" s="4" t="s">
        <v>678</v>
      </c>
    </row>
    <row r="294" spans="1:3" ht="13" x14ac:dyDescent="0.15">
      <c r="A294" s="4" t="str">
        <f t="shared" si="1"/>
        <v>Opw 293 Bereidt de weg van de Heer</v>
      </c>
      <c r="B294" s="4">
        <v>293</v>
      </c>
      <c r="C294" s="4" t="s">
        <v>679</v>
      </c>
    </row>
    <row r="295" spans="1:3" ht="13" x14ac:dyDescent="0.15">
      <c r="A295" s="4" t="str">
        <f t="shared" si="1"/>
        <v>Opw 294 Glorie, glorie, glorie aan het Lam</v>
      </c>
      <c r="B295" s="4">
        <v>294</v>
      </c>
      <c r="C295" s="4" t="s">
        <v>680</v>
      </c>
    </row>
    <row r="296" spans="1:3" ht="13" x14ac:dyDescent="0.15">
      <c r="A296" s="4" t="str">
        <f t="shared" si="1"/>
        <v>Opw 295 Geef eer aan God in de hoge</v>
      </c>
      <c r="B296" s="4">
        <v>295</v>
      </c>
      <c r="C296" s="4" t="s">
        <v>681</v>
      </c>
    </row>
    <row r="297" spans="1:3" ht="13" x14ac:dyDescent="0.15">
      <c r="A297" s="4" t="str">
        <f t="shared" si="1"/>
        <v>Opw 296 U bent waardig, Heer Jehova</v>
      </c>
      <c r="B297" s="4">
        <v>296</v>
      </c>
      <c r="C297" s="4" t="s">
        <v>682</v>
      </c>
    </row>
    <row r="298" spans="1:3" ht="13" x14ac:dyDescent="0.15">
      <c r="A298" s="4" t="str">
        <f t="shared" si="1"/>
        <v>Opw 297 Wat geen oog heeft gezien (van Engelenhoven)</v>
      </c>
      <c r="B298" s="4">
        <v>297</v>
      </c>
      <c r="C298" s="4" t="s">
        <v>683</v>
      </c>
    </row>
    <row r="299" spans="1:3" ht="13" x14ac:dyDescent="0.15">
      <c r="A299" s="4" t="str">
        <f t="shared" si="1"/>
        <v>Opw 298 Hosanna, hosanna, hosanna in de hoge</v>
      </c>
      <c r="B299" s="4">
        <v>298</v>
      </c>
      <c r="C299" s="4" t="s">
        <v>684</v>
      </c>
    </row>
    <row r="300" spans="1:3" ht="13" x14ac:dyDescent="0.15">
      <c r="A300" s="4" t="str">
        <f t="shared" si="1"/>
        <v>Opw 299 Wees blij, want Hij, Koning Jezus</v>
      </c>
      <c r="B300" s="4">
        <v>299</v>
      </c>
      <c r="C300" s="4" t="s">
        <v>685</v>
      </c>
    </row>
    <row r="301" spans="1:3" ht="13" x14ac:dyDescent="0.15">
      <c r="A301" s="4" t="str">
        <f t="shared" si="1"/>
        <v>Opw 300 De aard' is van God en al wat daarin is</v>
      </c>
      <c r="B301" s="4">
        <v>300</v>
      </c>
      <c r="C301" s="4" t="s">
        <v>686</v>
      </c>
    </row>
    <row r="302" spans="1:3" ht="13" x14ac:dyDescent="0.15">
      <c r="A302" s="4" t="str">
        <f t="shared" si="1"/>
        <v>Opw 301 Wij verklaren: Gods Koninkrijk is hier</v>
      </c>
      <c r="B302" s="4">
        <v>301</v>
      </c>
      <c r="C302" s="4" t="s">
        <v>687</v>
      </c>
    </row>
    <row r="303" spans="1:3" ht="13" x14ac:dyDescent="0.15">
      <c r="A303" s="4" t="str">
        <f t="shared" si="1"/>
        <v>Opw 302 Uw naam is als balsem voor 't hart</v>
      </c>
      <c r="B303" s="4">
        <v>302</v>
      </c>
      <c r="C303" s="4" t="s">
        <v>688</v>
      </c>
    </row>
    <row r="304" spans="1:3" ht="13" x14ac:dyDescent="0.15">
      <c r="A304" s="4" t="str">
        <f t="shared" si="1"/>
        <v>Opw 303 Jezus, ik houd van U</v>
      </c>
      <c r="B304" s="4">
        <v>303</v>
      </c>
      <c r="C304" s="4" t="s">
        <v>689</v>
      </c>
    </row>
    <row r="305" spans="1:3" ht="13" x14ac:dyDescent="0.15">
      <c r="A305" s="4" t="str">
        <f t="shared" si="1"/>
        <v>Opw 304 Halleluja, Adonai</v>
      </c>
      <c r="B305" s="4">
        <v>304</v>
      </c>
      <c r="C305" s="4" t="s">
        <v>690</v>
      </c>
    </row>
    <row r="306" spans="1:3" ht="13" x14ac:dyDescent="0.15">
      <c r="A306" s="4" t="str">
        <f t="shared" si="1"/>
        <v>Opw 305 Wees stil en weet, dat Hij is uw God</v>
      </c>
      <c r="B306" s="4">
        <v>305</v>
      </c>
      <c r="C306" s="4" t="s">
        <v>691</v>
      </c>
    </row>
    <row r="307" spans="1:3" ht="13" x14ac:dyDescent="0.15">
      <c r="A307" s="4" t="str">
        <f t="shared" si="1"/>
        <v>Opw 306 Ons leven is uit God</v>
      </c>
      <c r="B307" s="4">
        <v>306</v>
      </c>
      <c r="C307" s="4" t="s">
        <v>692</v>
      </c>
    </row>
    <row r="308" spans="1:3" ht="13" x14ac:dyDescent="0.15">
      <c r="A308" s="4" t="str">
        <f t="shared" si="1"/>
        <v>Opw 307 Verblijdt u, zonen Gods</v>
      </c>
      <c r="B308" s="4">
        <v>307</v>
      </c>
      <c r="C308" s="4" t="s">
        <v>693</v>
      </c>
    </row>
    <row r="309" spans="1:3" ht="13" x14ac:dyDescent="0.15">
      <c r="A309" s="4" t="str">
        <f t="shared" si="1"/>
        <v>Opw 308 O laat Gods Zoon je thans omhullen</v>
      </c>
      <c r="B309" s="4">
        <v>308</v>
      </c>
      <c r="C309" s="4" t="s">
        <v>694</v>
      </c>
    </row>
    <row r="310" spans="1:3" ht="13" x14ac:dyDescent="0.15">
      <c r="A310" s="4" t="str">
        <f t="shared" si="1"/>
        <v>Opw 309 Geef Hem nu glorie en lofprijs en ere</v>
      </c>
      <c r="B310" s="4">
        <v>309</v>
      </c>
      <c r="C310" s="4" t="s">
        <v>695</v>
      </c>
    </row>
    <row r="311" spans="1:3" ht="13" x14ac:dyDescent="0.15">
      <c r="A311" s="4" t="str">
        <f t="shared" si="1"/>
        <v>Opw 310 U bent het lied van mijn hart</v>
      </c>
      <c r="B311" s="4">
        <v>310</v>
      </c>
      <c r="C311" s="4" t="s">
        <v>696</v>
      </c>
    </row>
    <row r="312" spans="1:3" ht="13" x14ac:dyDescent="0.15">
      <c r="A312" s="4" t="str">
        <f t="shared" si="1"/>
        <v>Opw 311 k Heb geloofd en daarom zing ik</v>
      </c>
      <c r="B312" s="4">
        <v>311</v>
      </c>
      <c r="C312" s="6" t="s">
        <v>697</v>
      </c>
    </row>
    <row r="313" spans="1:3" ht="13" x14ac:dyDescent="0.15">
      <c r="A313" s="4" t="str">
        <f t="shared" si="1"/>
        <v>Opw 312 Mildheid en majesteit</v>
      </c>
      <c r="B313" s="4">
        <v>312</v>
      </c>
      <c r="C313" s="4" t="s">
        <v>698</v>
      </c>
    </row>
    <row r="314" spans="1:3" ht="13" x14ac:dyDescent="0.15">
      <c r="A314" s="4" t="str">
        <f t="shared" si="1"/>
        <v>Opw 313 In een donker graf gevangen</v>
      </c>
      <c r="B314" s="4">
        <v>313</v>
      </c>
      <c r="C314" s="4" t="s">
        <v>699</v>
      </c>
    </row>
    <row r="315" spans="1:3" ht="13" x14ac:dyDescent="0.15">
      <c r="A315" s="4" t="str">
        <f t="shared" si="1"/>
        <v>Opw 314 Geprezen zij de Heer voor zijn liefde en kracht</v>
      </c>
      <c r="B315" s="4">
        <v>314</v>
      </c>
      <c r="C315" s="4" t="s">
        <v>700</v>
      </c>
    </row>
    <row r="316" spans="1:3" ht="13" x14ac:dyDescent="0.15">
      <c r="A316" s="4" t="str">
        <f t="shared" si="1"/>
        <v>Opw 315 Heer, uw bloed dat reinigt mij</v>
      </c>
      <c r="B316" s="4">
        <v>315</v>
      </c>
      <c r="C316" s="4" t="s">
        <v>701</v>
      </c>
    </row>
    <row r="317" spans="1:3" ht="13" x14ac:dyDescent="0.15">
      <c r="A317" s="4" t="str">
        <f t="shared" si="1"/>
        <v>Opw 316 Bij uw rivier wil ik komen, o Heer</v>
      </c>
      <c r="B317" s="4">
        <v>316</v>
      </c>
      <c r="C317" s="4" t="s">
        <v>702</v>
      </c>
    </row>
    <row r="318" spans="1:3" ht="13" x14ac:dyDescent="0.15">
      <c r="A318" s="4" t="str">
        <f t="shared" si="1"/>
        <v>Opw 317 Ik zal mijn water gieten</v>
      </c>
      <c r="B318" s="4">
        <v>317</v>
      </c>
      <c r="C318" s="4" t="s">
        <v>703</v>
      </c>
    </row>
    <row r="319" spans="1:3" ht="13" x14ac:dyDescent="0.15">
      <c r="A319" s="4" t="str">
        <f t="shared" si="1"/>
        <v>Opw 318 Eet het brood met Mij</v>
      </c>
      <c r="B319" s="4">
        <v>318</v>
      </c>
      <c r="C319" s="4" t="s">
        <v>704</v>
      </c>
    </row>
    <row r="320" spans="1:3" ht="13" x14ac:dyDescent="0.15">
      <c r="A320" s="4" t="str">
        <f t="shared" si="1"/>
        <v>Opw 319 Veni Creator Spiritus (van Setten)</v>
      </c>
      <c r="B320" s="4">
        <v>319</v>
      </c>
      <c r="C320" s="4" t="s">
        <v>705</v>
      </c>
    </row>
    <row r="321" spans="1:3" ht="13" x14ac:dyDescent="0.15">
      <c r="A321" s="4" t="str">
        <f t="shared" si="1"/>
        <v>Opw 320 Ere zij aan God, de Vader</v>
      </c>
      <c r="B321" s="4">
        <v>320</v>
      </c>
      <c r="C321" s="4" t="s">
        <v>706</v>
      </c>
    </row>
    <row r="322" spans="1:3" ht="13" x14ac:dyDescent="0.15">
      <c r="A322" s="4" t="str">
        <f t="shared" si="1"/>
        <v>Opw 321 Jubel, jubel dochter Sions</v>
      </c>
      <c r="B322" s="4">
        <v>321</v>
      </c>
      <c r="C322" s="4" t="s">
        <v>707</v>
      </c>
    </row>
    <row r="323" spans="1:3" ht="13" x14ac:dyDescent="0.15">
      <c r="A323" s="4" t="str">
        <f t="shared" si="1"/>
        <v>Opw 322 De Heer is mijn kracht en mijn lied</v>
      </c>
      <c r="B323" s="4">
        <v>322</v>
      </c>
      <c r="C323" s="4" t="s">
        <v>708</v>
      </c>
    </row>
    <row r="324" spans="1:3" ht="13" x14ac:dyDescent="0.15">
      <c r="A324" s="4" t="str">
        <f t="shared" si="1"/>
        <v>Opw 323 Aan Hem die zit op de troon</v>
      </c>
      <c r="B324" s="4">
        <v>323</v>
      </c>
      <c r="C324" s="4" t="s">
        <v>709</v>
      </c>
    </row>
    <row r="325" spans="1:3" ht="13" x14ac:dyDescent="0.15">
      <c r="A325" s="4" t="str">
        <f t="shared" si="1"/>
        <v>Opw 324 Ik wil komen en knielen aan uw voeten</v>
      </c>
      <c r="B325" s="4">
        <v>324</v>
      </c>
      <c r="C325" s="4" t="s">
        <v>710</v>
      </c>
    </row>
    <row r="326" spans="1:3" ht="13" x14ac:dyDescent="0.15">
      <c r="A326" s="4" t="str">
        <f t="shared" si="1"/>
        <v>Opw 325 O, de glorie van uw wezen</v>
      </c>
      <c r="B326" s="4">
        <v>325</v>
      </c>
      <c r="C326" s="4" t="s">
        <v>711</v>
      </c>
    </row>
    <row r="327" spans="1:3" ht="13" x14ac:dyDescent="0.15">
      <c r="A327" s="4" t="str">
        <f t="shared" si="1"/>
        <v>Opw 326 Ik verhoog uw naam</v>
      </c>
      <c r="B327" s="4">
        <v>326</v>
      </c>
      <c r="C327" s="4" t="s">
        <v>712</v>
      </c>
    </row>
    <row r="328" spans="1:3" ht="13" x14ac:dyDescent="0.15">
      <c r="A328" s="4" t="str">
        <f t="shared" si="1"/>
        <v>Opw 327 Jezus, ik hou van U (Del Hierro)</v>
      </c>
      <c r="B328" s="4">
        <v>327</v>
      </c>
      <c r="C328" s="4" t="s">
        <v>713</v>
      </c>
    </row>
    <row r="329" spans="1:3" ht="13" x14ac:dyDescent="0.15">
      <c r="A329" s="4" t="str">
        <f t="shared" si="1"/>
        <v>Opw 328 Heer, ontferm U over ons</v>
      </c>
      <c r="B329" s="4">
        <v>328</v>
      </c>
      <c r="C329" s="4" t="s">
        <v>714</v>
      </c>
    </row>
    <row r="330" spans="1:3" ht="13" x14ac:dyDescent="0.15">
      <c r="A330" s="4" t="str">
        <f t="shared" si="1"/>
        <v>Opw 329 U bent Heer van de schepping</v>
      </c>
      <c r="B330" s="4">
        <v>329</v>
      </c>
      <c r="C330" s="4" t="s">
        <v>715</v>
      </c>
    </row>
    <row r="331" spans="1:3" ht="13" x14ac:dyDescent="0.15">
      <c r="A331" s="4" t="str">
        <f t="shared" si="1"/>
        <v>Opw 330 Gods bazuinen klinken luid</v>
      </c>
      <c r="B331" s="4">
        <v>330</v>
      </c>
      <c r="C331" s="4" t="s">
        <v>716</v>
      </c>
    </row>
    <row r="332" spans="1:3" ht="13" x14ac:dyDescent="0.15">
      <c r="A332" s="4" t="str">
        <f t="shared" si="1"/>
        <v>Opw 331 Breng dank aan de Eeuwige</v>
      </c>
      <c r="B332" s="4">
        <v>331</v>
      </c>
      <c r="C332" s="4" t="s">
        <v>717</v>
      </c>
    </row>
    <row r="333" spans="1:3" ht="13" x14ac:dyDescent="0.15">
      <c r="A333" s="4" t="str">
        <f t="shared" si="1"/>
        <v>Opw 332 U, o Heer, bent de Allerhoogste</v>
      </c>
      <c r="B333" s="4">
        <v>332</v>
      </c>
      <c r="C333" s="4" t="s">
        <v>718</v>
      </c>
    </row>
    <row r="334" spans="1:3" ht="13" x14ac:dyDescent="0.15">
      <c r="A334" s="4" t="str">
        <f t="shared" si="1"/>
        <v>Opw 333 Heer, U bent El Elohim</v>
      </c>
      <c r="B334" s="4">
        <v>333</v>
      </c>
      <c r="C334" s="4" t="s">
        <v>719</v>
      </c>
    </row>
    <row r="335" spans="1:3" ht="13" x14ac:dyDescent="0.15">
      <c r="A335" s="4" t="str">
        <f t="shared" si="1"/>
        <v>Opw 334 Heer, uw licht en uw liefde schijnen</v>
      </c>
      <c r="B335" s="4">
        <v>334</v>
      </c>
      <c r="C335" s="4" t="s">
        <v>720</v>
      </c>
    </row>
    <row r="336" spans="1:3" ht="13" x14ac:dyDescent="0.15">
      <c r="A336" s="4" t="str">
        <f t="shared" si="1"/>
        <v>Opw 335 U bent waardig te ontvangen</v>
      </c>
      <c r="B336" s="4">
        <v>335</v>
      </c>
      <c r="C336" s="4" t="s">
        <v>721</v>
      </c>
    </row>
    <row r="337" spans="1:3" ht="13" x14ac:dyDescent="0.15">
      <c r="A337" s="4" t="str">
        <f t="shared" si="1"/>
        <v>Opw 336 Heilig, heilig, heilig is de Heer</v>
      </c>
      <c r="B337" s="4">
        <v>336</v>
      </c>
      <c r="C337" s="4" t="s">
        <v>722</v>
      </c>
    </row>
    <row r="338" spans="1:3" ht="13" x14ac:dyDescent="0.15">
      <c r="A338" s="4" t="str">
        <f t="shared" si="1"/>
        <v>Opw 337 Mijn hoop is op U Heer</v>
      </c>
      <c r="B338" s="4">
        <v>337</v>
      </c>
      <c r="C338" s="4" t="s">
        <v>723</v>
      </c>
    </row>
    <row r="339" spans="1:3" ht="13" x14ac:dyDescent="0.15">
      <c r="A339" s="4" t="str">
        <f t="shared" si="1"/>
        <v>Opw 338 U bent mij zo kostbaar o Heer</v>
      </c>
      <c r="B339" s="4">
        <v>338</v>
      </c>
      <c r="C339" s="4" t="s">
        <v>724</v>
      </c>
    </row>
    <row r="340" spans="1:3" ht="13" x14ac:dyDescent="0.15">
      <c r="A340" s="4" t="str">
        <f t="shared" si="1"/>
        <v>Opw 339 O, kom nu en jubel</v>
      </c>
      <c r="B340" s="4">
        <v>339</v>
      </c>
      <c r="C340" s="4" t="s">
        <v>725</v>
      </c>
    </row>
    <row r="341" spans="1:3" ht="13" x14ac:dyDescent="0.15">
      <c r="A341" s="4" t="str">
        <f t="shared" si="1"/>
        <v>Opw 340 Vader, U bent mijn erfdeel voor altijd</v>
      </c>
      <c r="B341" s="4">
        <v>340</v>
      </c>
      <c r="C341" s="4" t="s">
        <v>726</v>
      </c>
    </row>
    <row r="342" spans="1:3" ht="13" x14ac:dyDescent="0.15">
      <c r="A342" s="4" t="str">
        <f t="shared" si="1"/>
        <v>Opw 341 Open je hart</v>
      </c>
      <c r="B342" s="4">
        <v>341</v>
      </c>
      <c r="C342" s="4" t="s">
        <v>727</v>
      </c>
    </row>
    <row r="343" spans="1:3" ht="13" x14ac:dyDescent="0.15">
      <c r="A343" s="4" t="str">
        <f t="shared" si="1"/>
        <v>Opw 342 Meer liefde, meer kracht</v>
      </c>
      <c r="B343" s="4">
        <v>342</v>
      </c>
      <c r="C343" s="4" t="s">
        <v>728</v>
      </c>
    </row>
    <row r="344" spans="1:3" ht="13" x14ac:dyDescent="0.15">
      <c r="A344" s="4" t="str">
        <f t="shared" si="1"/>
        <v>Opw 343 Heilige Geest van God, vul opnieuw mijn hart</v>
      </c>
      <c r="B344" s="4">
        <v>343</v>
      </c>
      <c r="C344" s="4" t="s">
        <v>729</v>
      </c>
    </row>
    <row r="345" spans="1:3" ht="13" x14ac:dyDescent="0.15">
      <c r="A345" s="4" t="str">
        <f t="shared" si="1"/>
        <v>Opw 344 De Here bouwt aan Jeruzalem</v>
      </c>
      <c r="B345" s="4">
        <v>344</v>
      </c>
      <c r="C345" s="4" t="s">
        <v>730</v>
      </c>
    </row>
    <row r="346" spans="1:3" ht="13" x14ac:dyDescent="0.15">
      <c r="A346" s="4" t="str">
        <f t="shared" si="1"/>
        <v>Opw 345 Jezus het Lam, Jezus het Lam</v>
      </c>
      <c r="B346" s="4">
        <v>345</v>
      </c>
      <c r="C346" s="4" t="s">
        <v>731</v>
      </c>
    </row>
    <row r="347" spans="1:3" ht="13" x14ac:dyDescent="0.15">
      <c r="A347" s="4" t="str">
        <f t="shared" si="1"/>
        <v>Opw 346 Maak ons tot een stralend licht</v>
      </c>
      <c r="B347" s="4">
        <v>346</v>
      </c>
      <c r="C347" s="4" t="s">
        <v>732</v>
      </c>
    </row>
    <row r="348" spans="1:3" ht="13" x14ac:dyDescent="0.15">
      <c r="A348" s="4" t="str">
        <f t="shared" si="1"/>
        <v>Opw 347 Ik geloof in God de Vader, Schepper, die de schepping draagt</v>
      </c>
      <c r="B348" s="4">
        <v>347</v>
      </c>
      <c r="C348" s="4" t="s">
        <v>733</v>
      </c>
    </row>
    <row r="349" spans="1:3" ht="13" x14ac:dyDescent="0.15">
      <c r="A349" s="4" t="str">
        <f t="shared" si="1"/>
        <v>Opw 348 Heer van mijn hart</v>
      </c>
      <c r="B349" s="4">
        <v>348</v>
      </c>
      <c r="C349" s="4" t="s">
        <v>734</v>
      </c>
    </row>
    <row r="350" spans="1:3" ht="13" x14ac:dyDescent="0.15">
      <c r="A350" s="4" t="str">
        <f t="shared" si="1"/>
        <v>Opw 349 Hij is verheerlijkt</v>
      </c>
      <c r="B350" s="4">
        <v>349</v>
      </c>
      <c r="C350" s="4" t="s">
        <v>735</v>
      </c>
    </row>
    <row r="351" spans="1:3" ht="13" x14ac:dyDescent="0.15">
      <c r="A351" s="4" t="str">
        <f t="shared" si="1"/>
        <v>Opw 350 Vader, vol van vrees en schaamte</v>
      </c>
      <c r="B351" s="4">
        <v>350</v>
      </c>
      <c r="C351" s="4" t="s">
        <v>736</v>
      </c>
    </row>
    <row r="352" spans="1:3" ht="13" x14ac:dyDescent="0.15">
      <c r="A352" s="4" t="str">
        <f t="shared" si="1"/>
        <v>Opw 351 Jezus geeft een loflied in ons hart</v>
      </c>
      <c r="B352" s="4">
        <v>351</v>
      </c>
      <c r="C352" s="4" t="s">
        <v>737</v>
      </c>
    </row>
    <row r="353" spans="1:3" ht="13" x14ac:dyDescent="0.15">
      <c r="A353" s="4" t="str">
        <f t="shared" si="1"/>
        <v>Opw 352 Christus, onze Heer, verrees</v>
      </c>
      <c r="B353" s="4">
        <v>352</v>
      </c>
      <c r="C353" s="4" t="s">
        <v>738</v>
      </c>
    </row>
    <row r="354" spans="1:3" ht="13" x14ac:dyDescent="0.15">
      <c r="A354" s="4" t="str">
        <f t="shared" si="1"/>
        <v>Opw 353 Kom met uw genade, Heer</v>
      </c>
      <c r="B354" s="4">
        <v>353</v>
      </c>
      <c r="C354" s="4" t="s">
        <v>739</v>
      </c>
    </row>
    <row r="355" spans="1:3" ht="13" x14ac:dyDescent="0.15">
      <c r="A355" s="4" t="str">
        <f t="shared" si="1"/>
        <v>Opw 354 Glorie aan God</v>
      </c>
      <c r="B355" s="4">
        <v>354</v>
      </c>
      <c r="C355" s="4" t="s">
        <v>134</v>
      </c>
    </row>
    <row r="356" spans="1:3" ht="13" x14ac:dyDescent="0.15">
      <c r="A356" s="4" t="str">
        <f t="shared" si="1"/>
        <v>Opw 355 U die mij geschapen hebt</v>
      </c>
      <c r="B356" s="4">
        <v>355</v>
      </c>
      <c r="C356" s="4" t="s">
        <v>740</v>
      </c>
    </row>
    <row r="357" spans="1:3" ht="13" x14ac:dyDescent="0.15">
      <c r="A357" s="4" t="str">
        <f t="shared" si="1"/>
        <v>Opw 356 Heer, ik wil U prijzen</v>
      </c>
      <c r="B357" s="4">
        <v>356</v>
      </c>
      <c r="C357" s="4" t="s">
        <v>741</v>
      </c>
    </row>
    <row r="358" spans="1:3" ht="13" x14ac:dyDescent="0.15">
      <c r="A358" s="4" t="str">
        <f t="shared" si="1"/>
        <v>Opw 357 Lof zij de Heer, die ons doet triomferen</v>
      </c>
      <c r="B358" s="4">
        <v>357</v>
      </c>
      <c r="C358" s="4" t="s">
        <v>742</v>
      </c>
    </row>
    <row r="359" spans="1:3" ht="13" x14ac:dyDescent="0.15">
      <c r="A359" s="4" t="str">
        <f t="shared" si="1"/>
        <v>Opw 358 Uw tederheid genas</v>
      </c>
      <c r="B359" s="4">
        <v>358</v>
      </c>
      <c r="C359" s="4" t="s">
        <v>744</v>
      </c>
    </row>
    <row r="360" spans="1:3" ht="13" x14ac:dyDescent="0.15">
      <c r="A360" s="4" t="str">
        <f t="shared" si="1"/>
        <v>Opw 359 De hemel juicht</v>
      </c>
      <c r="B360" s="4">
        <v>359</v>
      </c>
      <c r="C360" s="4" t="s">
        <v>745</v>
      </c>
    </row>
    <row r="361" spans="1:3" ht="13" x14ac:dyDescent="0.15">
      <c r="A361" s="4" t="str">
        <f t="shared" si="1"/>
        <v>Opw 360 Dit is heil'ge grond</v>
      </c>
      <c r="B361" s="4">
        <v>360</v>
      </c>
      <c r="C361" s="4" t="s">
        <v>746</v>
      </c>
    </row>
    <row r="362" spans="1:3" ht="13" x14ac:dyDescent="0.15">
      <c r="A362" s="4" t="str">
        <f t="shared" si="1"/>
        <v>Opw 361 Als David dans ik uit alle macht</v>
      </c>
      <c r="B362" s="4">
        <v>361</v>
      </c>
      <c r="C362" s="4" t="s">
        <v>747</v>
      </c>
    </row>
    <row r="363" spans="1:3" ht="13" x14ac:dyDescent="0.15">
      <c r="A363" s="4" t="str">
        <f t="shared" si="1"/>
        <v>Opw 362 Baruch Ha Ba B'Shem Adonai</v>
      </c>
      <c r="B363" s="4">
        <v>362</v>
      </c>
      <c r="C363" s="4" t="s">
        <v>748</v>
      </c>
    </row>
    <row r="364" spans="1:3" ht="13" x14ac:dyDescent="0.15">
      <c r="A364" s="4" t="str">
        <f t="shared" si="1"/>
        <v>Opw 363 Kom laat ons buigen voor de Heer</v>
      </c>
      <c r="B364" s="4">
        <v>363</v>
      </c>
      <c r="C364" s="4" t="s">
        <v>749</v>
      </c>
    </row>
    <row r="365" spans="1:3" ht="13" x14ac:dyDescent="0.15">
      <c r="A365" s="4" t="str">
        <f t="shared" si="1"/>
        <v>Opw 364 Prijs onze Heer</v>
      </c>
      <c r="B365" s="4">
        <v>364</v>
      </c>
      <c r="C365" s="4" t="s">
        <v>750</v>
      </c>
    </row>
    <row r="366" spans="1:3" ht="13" x14ac:dyDescent="0.15">
      <c r="A366" s="4" t="str">
        <f t="shared" si="1"/>
        <v>Opw 365 k Aanbid U, Heer, almachtig God</v>
      </c>
      <c r="B366" s="4">
        <v>365</v>
      </c>
      <c r="C366" s="6" t="s">
        <v>751</v>
      </c>
    </row>
    <row r="367" spans="1:3" ht="13" x14ac:dyDescent="0.15">
      <c r="A367" s="4" t="str">
        <f t="shared" si="1"/>
        <v>Opw 366 Kroon Hem met gouden kroon</v>
      </c>
      <c r="B367" s="4">
        <v>366</v>
      </c>
      <c r="C367" s="4" t="s">
        <v>752</v>
      </c>
    </row>
    <row r="368" spans="1:3" ht="13" x14ac:dyDescent="0.15">
      <c r="A368" s="4" t="str">
        <f t="shared" si="1"/>
        <v>Opw 367 Als God zijn stem doet horen in Israël</v>
      </c>
      <c r="B368" s="4">
        <v>367</v>
      </c>
      <c r="C368" s="4" t="s">
        <v>754</v>
      </c>
    </row>
    <row r="369" spans="1:3" ht="13" x14ac:dyDescent="0.15">
      <c r="A369" s="4" t="str">
        <f t="shared" si="1"/>
        <v>Opw 368 Hoor, o Israël</v>
      </c>
      <c r="B369" s="4">
        <v>368</v>
      </c>
      <c r="C369" s="4" t="s">
        <v>756</v>
      </c>
    </row>
    <row r="370" spans="1:3" ht="13" x14ac:dyDescent="0.15">
      <c r="A370" s="4" t="str">
        <f t="shared" si="1"/>
        <v>Opw 369 Door uw genade, Vader</v>
      </c>
      <c r="B370" s="4">
        <v>369</v>
      </c>
      <c r="C370" s="4" t="s">
        <v>757</v>
      </c>
    </row>
    <row r="371" spans="1:3" ht="13" x14ac:dyDescent="0.15">
      <c r="A371" s="4" t="str">
        <f t="shared" si="1"/>
        <v>Opw 370 Een vaste burcht is onze God</v>
      </c>
      <c r="B371" s="4">
        <v>370</v>
      </c>
      <c r="C371" s="4" t="s">
        <v>760</v>
      </c>
    </row>
    <row r="372" spans="1:3" ht="13" x14ac:dyDescent="0.15">
      <c r="A372" s="4" t="str">
        <f t="shared" si="1"/>
        <v>Opw 371 Heer, U gaf aan mij uw vreugdeolie</v>
      </c>
      <c r="B372" s="4">
        <v>371</v>
      </c>
      <c r="C372" s="4" t="s">
        <v>763</v>
      </c>
    </row>
    <row r="373" spans="1:3" ht="13" x14ac:dyDescent="0.15">
      <c r="A373" s="4" t="str">
        <f t="shared" si="1"/>
        <v>Opw 372 U verzadigt mij met uw liefde, Heer</v>
      </c>
      <c r="B373" s="4">
        <v>372</v>
      </c>
      <c r="C373" s="4" t="s">
        <v>765</v>
      </c>
    </row>
    <row r="374" spans="1:3" ht="13" x14ac:dyDescent="0.15">
      <c r="A374" s="4" t="str">
        <f t="shared" si="1"/>
        <v>Opw 373 Voor de allerhoogste Heer</v>
      </c>
      <c r="B374" s="4">
        <v>373</v>
      </c>
      <c r="C374" s="4" t="s">
        <v>767</v>
      </c>
    </row>
    <row r="375" spans="1:3" ht="13" x14ac:dyDescent="0.15">
      <c r="A375" s="4" t="str">
        <f t="shared" si="1"/>
        <v>Opw 374 Met hemelse wapens</v>
      </c>
      <c r="B375" s="4">
        <v>374</v>
      </c>
      <c r="C375" s="4" t="s">
        <v>779</v>
      </c>
    </row>
    <row r="376" spans="1:3" ht="13" x14ac:dyDescent="0.15">
      <c r="A376" s="4" t="str">
        <f t="shared" si="1"/>
        <v>Opw 375 De Heer regeert</v>
      </c>
      <c r="B376" s="4">
        <v>375</v>
      </c>
      <c r="C376" s="4" t="s">
        <v>783</v>
      </c>
    </row>
    <row r="377" spans="1:3" ht="13" x14ac:dyDescent="0.15">
      <c r="A377" s="4" t="str">
        <f t="shared" si="1"/>
        <v>Opw 376 Maak ons een leger, o Heer</v>
      </c>
      <c r="B377" s="4">
        <v>376</v>
      </c>
      <c r="C377" s="4" t="s">
        <v>786</v>
      </c>
    </row>
    <row r="378" spans="1:3" ht="13" x14ac:dyDescent="0.15">
      <c r="A378" s="4" t="str">
        <f t="shared" si="1"/>
        <v>Opw 377 Wat de toekomst brengen moge</v>
      </c>
      <c r="B378" s="4">
        <v>377</v>
      </c>
      <c r="C378" s="4" t="s">
        <v>789</v>
      </c>
    </row>
    <row r="379" spans="1:3" ht="13" x14ac:dyDescent="0.15">
      <c r="A379" s="4" t="str">
        <f t="shared" si="1"/>
        <v>Opw 378 Ik wil jou van harte dienen</v>
      </c>
      <c r="B379" s="4">
        <v>378</v>
      </c>
      <c r="C379" s="4" t="s">
        <v>791</v>
      </c>
    </row>
    <row r="380" spans="1:3" ht="13" x14ac:dyDescent="0.15">
      <c r="A380" s="4" t="str">
        <f t="shared" si="1"/>
        <v>Opw 379 Heerlijk is uw naam</v>
      </c>
      <c r="B380" s="4">
        <v>379</v>
      </c>
      <c r="C380" s="4" t="s">
        <v>794</v>
      </c>
    </row>
    <row r="381" spans="1:3" ht="13" x14ac:dyDescent="0.15">
      <c r="A381" s="4" t="str">
        <f t="shared" si="1"/>
        <v>Opw 380 Koning van Sjaloom</v>
      </c>
      <c r="B381" s="4">
        <v>380</v>
      </c>
      <c r="C381" s="4" t="s">
        <v>797</v>
      </c>
    </row>
    <row r="382" spans="1:3" ht="13" x14ac:dyDescent="0.15">
      <c r="A382" s="4" t="str">
        <f t="shared" si="1"/>
        <v>Opw 381 De zaligheid is van God</v>
      </c>
      <c r="B382" s="4">
        <v>381</v>
      </c>
      <c r="C382" s="4" t="s">
        <v>799</v>
      </c>
    </row>
    <row r="383" spans="1:3" ht="13" x14ac:dyDescent="0.15">
      <c r="A383" s="4" t="str">
        <f t="shared" si="1"/>
        <v>Opw 382 O Heer, de nacht komt over ons</v>
      </c>
      <c r="B383" s="4">
        <v>382</v>
      </c>
      <c r="C383" s="4" t="s">
        <v>800</v>
      </c>
    </row>
    <row r="384" spans="1:3" ht="13" x14ac:dyDescent="0.15">
      <c r="A384" s="4" t="str">
        <f t="shared" si="1"/>
        <v>Opw 383 Geest van hierboven, leer ons geloven</v>
      </c>
      <c r="B384" s="4">
        <v>383</v>
      </c>
      <c r="C384" s="4" t="s">
        <v>801</v>
      </c>
    </row>
    <row r="385" spans="1:3" ht="13" x14ac:dyDescent="0.15">
      <c r="A385" s="4" t="str">
        <f t="shared" si="1"/>
        <v>Opw 384 De dag, door uwe gunst ontvangen</v>
      </c>
      <c r="B385" s="4">
        <v>384</v>
      </c>
      <c r="C385" s="4" t="s">
        <v>802</v>
      </c>
    </row>
    <row r="386" spans="1:3" ht="13" x14ac:dyDescent="0.15">
      <c r="A386" s="4" t="str">
        <f t="shared" si="1"/>
        <v>Opw 385 Mijn vrede laat Ik u</v>
      </c>
      <c r="B386" s="4">
        <v>385</v>
      </c>
      <c r="C386" s="4" t="s">
        <v>803</v>
      </c>
    </row>
    <row r="387" spans="1:3" ht="13" x14ac:dyDescent="0.15">
      <c r="A387" s="4" t="str">
        <f t="shared" si="1"/>
        <v>Opw 386 Lof zij de Heer, de almachtige Koning der ere</v>
      </c>
      <c r="B387" s="4">
        <v>386</v>
      </c>
      <c r="C387" s="4" t="s">
        <v>804</v>
      </c>
    </row>
    <row r="388" spans="1:3" ht="13" x14ac:dyDescent="0.15">
      <c r="A388" s="4" t="str">
        <f t="shared" si="1"/>
        <v>Opw 387 Groot en machtig is Hij</v>
      </c>
      <c r="B388" s="4">
        <v>387</v>
      </c>
      <c r="C388" s="4" t="s">
        <v>805</v>
      </c>
    </row>
    <row r="389" spans="1:3" ht="13" x14ac:dyDescent="0.15">
      <c r="A389" s="4" t="str">
        <f t="shared" si="1"/>
        <v>Opw 388 De woestijn zal bloeien als een roos</v>
      </c>
      <c r="B389" s="4">
        <v>388</v>
      </c>
      <c r="C389" s="4" t="s">
        <v>806</v>
      </c>
    </row>
    <row r="390" spans="1:3" ht="13" x14ac:dyDescent="0.15">
      <c r="A390" s="4" t="str">
        <f t="shared" si="1"/>
        <v>Opw 389 Create in me a clean heart</v>
      </c>
      <c r="B390" s="4">
        <v>389</v>
      </c>
      <c r="C390" s="4" t="s">
        <v>807</v>
      </c>
    </row>
    <row r="391" spans="1:3" ht="13" x14ac:dyDescent="0.15">
      <c r="A391" s="4" t="str">
        <f t="shared" si="1"/>
        <v>Opw 390 Ik belijd: ons land heeft gezondigd</v>
      </c>
      <c r="B391" s="4">
        <v>390</v>
      </c>
      <c r="C391" s="4" t="s">
        <v>808</v>
      </c>
    </row>
    <row r="392" spans="1:3" ht="13" x14ac:dyDescent="0.15">
      <c r="A392" s="4" t="str">
        <f t="shared" si="1"/>
        <v>Opw 391 Welkom, Heil'ge Geest van God</v>
      </c>
      <c r="B392" s="4">
        <v>391</v>
      </c>
      <c r="C392" s="4" t="s">
        <v>809</v>
      </c>
    </row>
    <row r="393" spans="1:3" ht="13" x14ac:dyDescent="0.15">
      <c r="A393" s="4" t="str">
        <f t="shared" si="1"/>
        <v>Opw 392 Mijn Jezus, ik hou van U</v>
      </c>
      <c r="B393" s="4">
        <v>392</v>
      </c>
      <c r="C393" s="4" t="s">
        <v>810</v>
      </c>
    </row>
    <row r="394" spans="1:3" ht="13" x14ac:dyDescent="0.15">
      <c r="A394" s="4" t="str">
        <f t="shared" si="1"/>
        <v>Opw 393 Lam van God, Heilige</v>
      </c>
      <c r="B394" s="4">
        <v>393</v>
      </c>
      <c r="C394" s="4" t="s">
        <v>811</v>
      </c>
    </row>
    <row r="395" spans="1:3" ht="13" x14ac:dyDescent="0.15">
      <c r="A395" s="4" t="str">
        <f t="shared" si="1"/>
        <v>Opw 394 Genade en vrede zij u van de Vader</v>
      </c>
      <c r="B395" s="4">
        <v>394</v>
      </c>
      <c r="C395" s="4" t="s">
        <v>812</v>
      </c>
    </row>
    <row r="396" spans="1:3" ht="13" x14ac:dyDescent="0.15">
      <c r="A396" s="4" t="str">
        <f t="shared" si="1"/>
        <v>Opw 395 Zing met luid gejubel</v>
      </c>
      <c r="B396" s="4">
        <v>395</v>
      </c>
      <c r="C396" s="4" t="s">
        <v>813</v>
      </c>
    </row>
    <row r="397" spans="1:3" ht="13" x14ac:dyDescent="0.15">
      <c r="A397" s="4" t="str">
        <f t="shared" si="1"/>
        <v>Opw 396 Het Feest / Hoor de bazuin, de hemel zingt!</v>
      </c>
      <c r="B397" s="4">
        <v>396</v>
      </c>
      <c r="C397" s="4" t="s">
        <v>814</v>
      </c>
    </row>
    <row r="398" spans="1:3" ht="13" x14ac:dyDescent="0.15">
      <c r="A398" s="4" t="str">
        <f t="shared" si="1"/>
        <v>Opw 397 Jezus woont in mijn hart</v>
      </c>
      <c r="B398" s="4">
        <v>397</v>
      </c>
      <c r="C398" s="4" t="s">
        <v>815</v>
      </c>
    </row>
    <row r="399" spans="1:3" ht="13" x14ac:dyDescent="0.15">
      <c r="A399" s="4" t="str">
        <f t="shared" si="1"/>
        <v>Opw 398 Leid mij naar uw heiligdom</v>
      </c>
      <c r="B399" s="4">
        <v>398</v>
      </c>
      <c r="C399" s="4" t="s">
        <v>816</v>
      </c>
    </row>
    <row r="400" spans="1:3" ht="13" x14ac:dyDescent="0.15">
      <c r="A400" s="4" t="str">
        <f t="shared" si="1"/>
        <v>Opw 399 Vader God, ik vraag me af</v>
      </c>
      <c r="B400" s="4">
        <v>399</v>
      </c>
      <c r="C400" s="4" t="s">
        <v>817</v>
      </c>
    </row>
    <row r="401" spans="1:3" ht="13" x14ac:dyDescent="0.15">
      <c r="A401" s="4" t="str">
        <f t="shared" si="1"/>
        <v>Opw 400 Liefde was het</v>
      </c>
      <c r="B401" s="4">
        <v>400</v>
      </c>
      <c r="C401" s="4" t="s">
        <v>818</v>
      </c>
    </row>
    <row r="402" spans="1:3" ht="13" x14ac:dyDescent="0.15">
      <c r="A402" s="4" t="str">
        <f t="shared" si="1"/>
        <v>Opw 401 Koning Jezus, wij verhogen U</v>
      </c>
      <c r="B402" s="4">
        <v>401</v>
      </c>
      <c r="C402" s="4" t="s">
        <v>819</v>
      </c>
    </row>
    <row r="403" spans="1:3" ht="13" x14ac:dyDescent="0.15">
      <c r="A403" s="4" t="str">
        <f t="shared" si="1"/>
        <v>Opw 402 Vader, Zoon en Geest</v>
      </c>
      <c r="B403" s="4">
        <v>402</v>
      </c>
      <c r="C403" s="4" t="s">
        <v>820</v>
      </c>
    </row>
    <row r="404" spans="1:3" ht="13" x14ac:dyDescent="0.15">
      <c r="A404" s="4" t="str">
        <f t="shared" si="1"/>
        <v>Opw 403 Kom en help ons oogsten</v>
      </c>
      <c r="B404" s="4">
        <v>403</v>
      </c>
      <c r="C404" s="4" t="s">
        <v>821</v>
      </c>
    </row>
    <row r="405" spans="1:3" ht="13" x14ac:dyDescent="0.15">
      <c r="A405" s="4" t="str">
        <f t="shared" si="1"/>
        <v>Opw 404 Wij gaan op weg</v>
      </c>
      <c r="B405" s="4">
        <v>404</v>
      </c>
      <c r="C405" s="4" t="s">
        <v>822</v>
      </c>
    </row>
    <row r="406" spans="1:3" ht="13" x14ac:dyDescent="0.15">
      <c r="A406" s="4" t="str">
        <f t="shared" si="1"/>
        <v>Opw 405 Er is maar één God</v>
      </c>
      <c r="B406" s="4">
        <v>405</v>
      </c>
      <c r="C406" s="4" t="s">
        <v>823</v>
      </c>
    </row>
    <row r="407" spans="1:3" ht="13" x14ac:dyDescent="0.15">
      <c r="A407" s="4" t="str">
        <f t="shared" si="1"/>
        <v>Opw 406 In uw naam komen wij</v>
      </c>
      <c r="B407" s="4">
        <v>406</v>
      </c>
      <c r="C407" s="4" t="s">
        <v>824</v>
      </c>
    </row>
    <row r="408" spans="1:3" ht="13" x14ac:dyDescent="0.15">
      <c r="A408" s="4" t="str">
        <f t="shared" si="1"/>
        <v>Opw 407 O, Heer mijn God, wanneer ik in verwond'ring</v>
      </c>
      <c r="B408" s="4">
        <v>407</v>
      </c>
      <c r="C408" s="4" t="s">
        <v>825</v>
      </c>
    </row>
    <row r="409" spans="1:3" ht="13" x14ac:dyDescent="0.15">
      <c r="A409" s="4" t="str">
        <f t="shared" si="1"/>
        <v>Opw 408 Israël, verheug u in uw maker</v>
      </c>
      <c r="B409" s="4">
        <v>408</v>
      </c>
      <c r="C409" s="4" t="s">
        <v>826</v>
      </c>
    </row>
    <row r="410" spans="1:3" ht="13" x14ac:dyDescent="0.15">
      <c r="A410" s="4" t="str">
        <f t="shared" si="1"/>
        <v>Opw 409 Heel mijn hart jubelt voor de Heer</v>
      </c>
      <c r="B410" s="4">
        <v>409</v>
      </c>
      <c r="C410" s="4" t="s">
        <v>827</v>
      </c>
    </row>
    <row r="411" spans="1:3" ht="13" x14ac:dyDescent="0.15">
      <c r="A411" s="4" t="str">
        <f t="shared" si="1"/>
        <v>Opw 410 O, maak de Heer nu groot met mij</v>
      </c>
      <c r="B411" s="4">
        <v>410</v>
      </c>
      <c r="C411" s="4" t="s">
        <v>828</v>
      </c>
    </row>
    <row r="412" spans="1:3" ht="13" x14ac:dyDescent="0.15">
      <c r="A412" s="4" t="str">
        <f t="shared" si="1"/>
        <v>Opw 411 Geprezen zij de Here</v>
      </c>
      <c r="B412" s="4">
        <v>411</v>
      </c>
      <c r="C412" s="4" t="s">
        <v>829</v>
      </c>
    </row>
    <row r="413" spans="1:3" ht="13" x14ac:dyDescent="0.15">
      <c r="A413" s="4" t="str">
        <f t="shared" si="1"/>
        <v>Opw 412 Komt tot Mij</v>
      </c>
      <c r="B413" s="4">
        <v>412</v>
      </c>
      <c r="C413" s="4" t="s">
        <v>830</v>
      </c>
    </row>
    <row r="414" spans="1:3" ht="13" x14ac:dyDescent="0.15">
      <c r="A414" s="4" t="str">
        <f t="shared" si="1"/>
        <v>Opw 413 Hoe kom ik van zonde vrij?/Leid mij naar het kruis van Jezus</v>
      </c>
      <c r="B414" s="4">
        <v>413</v>
      </c>
      <c r="C414" s="4" t="s">
        <v>831</v>
      </c>
    </row>
    <row r="415" spans="1:3" ht="13" x14ac:dyDescent="0.15">
      <c r="A415" s="4" t="str">
        <f t="shared" si="1"/>
        <v>Opw 414 U zond uw Zoon, onschuldig, rein</v>
      </c>
      <c r="B415" s="4">
        <v>414</v>
      </c>
      <c r="C415" s="4" t="s">
        <v>832</v>
      </c>
    </row>
    <row r="416" spans="1:3" ht="13" x14ac:dyDescent="0.15">
      <c r="A416" s="4" t="str">
        <f t="shared" si="1"/>
        <v>Opw 415 Toon je dank aan de Heer</v>
      </c>
      <c r="B416" s="4">
        <v>415</v>
      </c>
      <c r="C416" s="4" t="s">
        <v>833</v>
      </c>
    </row>
    <row r="417" spans="1:3" ht="13" x14ac:dyDescent="0.15">
      <c r="A417" s="4" t="str">
        <f t="shared" si="1"/>
        <v>Opw 416 Jezus is Koning over de aarde</v>
      </c>
      <c r="B417" s="4">
        <v>416</v>
      </c>
      <c r="C417" s="4" t="s">
        <v>834</v>
      </c>
    </row>
    <row r="418" spans="1:3" ht="13" x14ac:dyDescent="0.15">
      <c r="A418" s="4" t="str">
        <f t="shared" si="1"/>
        <v>Opw 417 Heer, U draagt de hoogste kroon</v>
      </c>
      <c r="B418" s="4">
        <v>417</v>
      </c>
      <c r="C418" s="4" t="s">
        <v>835</v>
      </c>
    </row>
    <row r="419" spans="1:3" ht="13" x14ac:dyDescent="0.15">
      <c r="A419" s="4" t="str">
        <f t="shared" si="1"/>
        <v>Opw 418 Als ik opzie naar uw heiligheid</v>
      </c>
      <c r="B419" s="4">
        <v>418</v>
      </c>
      <c r="C419" s="4" t="s">
        <v>836</v>
      </c>
    </row>
    <row r="420" spans="1:3" ht="13" x14ac:dyDescent="0.15">
      <c r="A420" s="4" t="str">
        <f t="shared" si="1"/>
        <v>Opw 419 U bent God en wij prijzen U</v>
      </c>
      <c r="B420" s="4">
        <v>419</v>
      </c>
      <c r="C420" s="4" t="s">
        <v>837</v>
      </c>
    </row>
    <row r="421" spans="1:3" ht="13" x14ac:dyDescent="0.15">
      <c r="A421" s="4" t="str">
        <f t="shared" si="1"/>
        <v>Opw 420 Geen andere naam</v>
      </c>
      <c r="B421" s="4">
        <v>420</v>
      </c>
      <c r="C421" s="4" t="s">
        <v>838</v>
      </c>
    </row>
    <row r="422" spans="1:3" ht="13" x14ac:dyDescent="0.15">
      <c r="A422" s="4" t="str">
        <f t="shared" si="1"/>
        <v>Opw 421 Ja, ik wil U volgen</v>
      </c>
      <c r="B422" s="4">
        <v>421</v>
      </c>
      <c r="C422" s="4" t="s">
        <v>839</v>
      </c>
    </row>
    <row r="423" spans="1:3" ht="13" x14ac:dyDescent="0.15">
      <c r="A423" s="4" t="str">
        <f t="shared" si="1"/>
        <v>Opw 422 U wil ik kennen</v>
      </c>
      <c r="B423" s="4">
        <v>422</v>
      </c>
      <c r="C423" s="4" t="s">
        <v>840</v>
      </c>
    </row>
    <row r="424" spans="1:3" ht="13" x14ac:dyDescent="0.15">
      <c r="A424" s="4" t="str">
        <f t="shared" si="1"/>
        <v>Opw 423 Ik zing en juich voor mijn verlosser</v>
      </c>
      <c r="B424" s="4">
        <v>423</v>
      </c>
      <c r="C424" s="4" t="s">
        <v>841</v>
      </c>
    </row>
    <row r="425" spans="1:3" ht="13" x14ac:dyDescent="0.15">
      <c r="A425" s="4" t="str">
        <f t="shared" si="1"/>
        <v>Opw 424 Ik wil zingen voor de Koning</v>
      </c>
      <c r="B425" s="4">
        <v>424</v>
      </c>
      <c r="C425" s="4" t="s">
        <v>842</v>
      </c>
    </row>
    <row r="426" spans="1:3" ht="13" x14ac:dyDescent="0.15">
      <c r="A426" s="4" t="str">
        <f t="shared" si="1"/>
        <v>Opw 425 Er is geen grens</v>
      </c>
      <c r="B426" s="4">
        <v>425</v>
      </c>
      <c r="C426" s="4" t="s">
        <v>843</v>
      </c>
    </row>
    <row r="427" spans="1:3" ht="13" x14ac:dyDescent="0.15">
      <c r="A427" s="4" t="str">
        <f t="shared" si="1"/>
        <v>Opw 426 Ja, ik geloof in Jezus</v>
      </c>
      <c r="B427" s="4">
        <v>426</v>
      </c>
      <c r="C427" s="4" t="s">
        <v>844</v>
      </c>
    </row>
    <row r="428" spans="1:3" ht="13" x14ac:dyDescent="0.15">
      <c r="A428" s="4" t="str">
        <f t="shared" si="1"/>
        <v>Opw 427 Dwars door het vuur/ Maak mij rein voor U</v>
      </c>
      <c r="B428" s="4">
        <v>427</v>
      </c>
      <c r="C428" s="4" t="s">
        <v>845</v>
      </c>
    </row>
    <row r="429" spans="1:3" ht="13" x14ac:dyDescent="0.15">
      <c r="A429" s="4" t="str">
        <f t="shared" si="1"/>
        <v>Opw 428 Genade, zo oneindig groot</v>
      </c>
      <c r="B429" s="4">
        <v>428</v>
      </c>
      <c r="C429" s="4" t="s">
        <v>846</v>
      </c>
    </row>
    <row r="430" spans="1:3" ht="13" x14ac:dyDescent="0.15">
      <c r="A430" s="4" t="str">
        <f t="shared" si="1"/>
        <v>Opw 429 God wijst mij een weg</v>
      </c>
      <c r="B430" s="4">
        <v>429</v>
      </c>
      <c r="C430" s="4" t="s">
        <v>847</v>
      </c>
    </row>
    <row r="431" spans="1:3" ht="13" x14ac:dyDescent="0.15">
      <c r="A431" s="4" t="str">
        <f t="shared" si="1"/>
        <v>Opw 430 Heer, ik prijs uw grote naam</v>
      </c>
      <c r="B431" s="4">
        <v>430</v>
      </c>
      <c r="C431" s="4" t="s">
        <v>848</v>
      </c>
    </row>
    <row r="432" spans="1:3" ht="13" x14ac:dyDescent="0.15">
      <c r="A432" s="4" t="str">
        <f t="shared" si="1"/>
        <v>Opw 431 Laat een loflied op je lippen zijn</v>
      </c>
      <c r="B432" s="4">
        <v>431</v>
      </c>
      <c r="C432" s="4" t="s">
        <v>849</v>
      </c>
    </row>
    <row r="433" spans="1:3" ht="13" x14ac:dyDescent="0.15">
      <c r="A433" s="4" t="str">
        <f t="shared" si="1"/>
        <v>Opw 432 Kom en prijs</v>
      </c>
      <c r="B433" s="4">
        <v>432</v>
      </c>
      <c r="C433" s="4" t="s">
        <v>850</v>
      </c>
    </row>
    <row r="434" spans="1:3" ht="13" x14ac:dyDescent="0.15">
      <c r="A434" s="4" t="str">
        <f t="shared" si="1"/>
        <v>Opw 433 Groter is Hij die in mij is</v>
      </c>
      <c r="B434" s="4">
        <v>433</v>
      </c>
      <c r="C434" s="4" t="s">
        <v>851</v>
      </c>
    </row>
    <row r="435" spans="1:3" ht="13" x14ac:dyDescent="0.15">
      <c r="A435" s="4" t="str">
        <f t="shared" si="1"/>
        <v>Opw 434 Tot zijn eer en heerlijkheid</v>
      </c>
      <c r="B435" s="4">
        <v>434</v>
      </c>
      <c r="C435" s="4" t="s">
        <v>852</v>
      </c>
    </row>
    <row r="436" spans="1:3" ht="13" x14ac:dyDescent="0.15">
      <c r="A436" s="4" t="str">
        <f t="shared" si="1"/>
        <v>Opw 435 Heer, uw koninkrijk breekt baan</v>
      </c>
      <c r="B436" s="4">
        <v>435</v>
      </c>
      <c r="C436" s="4" t="s">
        <v>853</v>
      </c>
    </row>
    <row r="437" spans="1:3" ht="13" x14ac:dyDescent="0.15">
      <c r="A437" s="4" t="str">
        <f t="shared" si="1"/>
        <v>Opw 436 Onze Vader (Marcel Zimmer)</v>
      </c>
      <c r="B437" s="4">
        <v>436</v>
      </c>
      <c r="C437" s="4" t="s">
        <v>854</v>
      </c>
    </row>
    <row r="438" spans="1:3" ht="13" x14ac:dyDescent="0.15">
      <c r="A438" s="4" t="str">
        <f t="shared" si="1"/>
        <v>Opw 437 Verhoog de Here God</v>
      </c>
      <c r="B438" s="4">
        <v>437</v>
      </c>
      <c r="C438" s="4" t="s">
        <v>855</v>
      </c>
    </row>
    <row r="439" spans="1:3" ht="13" x14ac:dyDescent="0.15">
      <c r="A439" s="4" t="str">
        <f t="shared" si="1"/>
        <v>Opw 438 Ik buig neer</v>
      </c>
      <c r="B439" s="4">
        <v>438</v>
      </c>
      <c r="C439" s="4" t="s">
        <v>856</v>
      </c>
    </row>
    <row r="440" spans="1:3" ht="13" x14ac:dyDescent="0.15">
      <c r="A440" s="4" t="str">
        <f t="shared" si="1"/>
        <v>Opw 439 Machtig is de naam van de Heer</v>
      </c>
      <c r="B440" s="4">
        <v>439</v>
      </c>
      <c r="C440" s="4" t="s">
        <v>857</v>
      </c>
    </row>
    <row r="441" spans="1:3" ht="13" x14ac:dyDescent="0.15">
      <c r="A441" s="4" t="str">
        <f t="shared" si="1"/>
        <v>Opw 440 Machtig zijn al uw daden, Heer</v>
      </c>
      <c r="B441" s="4">
        <v>440</v>
      </c>
      <c r="C441" s="4" t="s">
        <v>858</v>
      </c>
    </row>
    <row r="442" spans="1:3" ht="13" x14ac:dyDescent="0.15">
      <c r="A442" s="4" t="str">
        <f t="shared" si="1"/>
        <v>Opw 441 De kracht van Jezus</v>
      </c>
      <c r="B442" s="4">
        <v>441</v>
      </c>
      <c r="C442" s="4" t="s">
        <v>859</v>
      </c>
    </row>
    <row r="443" spans="1:3" ht="13" x14ac:dyDescent="0.15">
      <c r="A443" s="4" t="str">
        <f t="shared" si="1"/>
        <v>Opw 442 Prijst Hem, prijst Hem</v>
      </c>
      <c r="B443" s="4">
        <v>442</v>
      </c>
      <c r="C443" s="4" t="s">
        <v>860</v>
      </c>
    </row>
    <row r="444" spans="1:3" ht="13" x14ac:dyDescent="0.15">
      <c r="A444" s="4" t="str">
        <f t="shared" si="1"/>
        <v>Opw 443 Voor eeuwig dankbaar/U wachtte niet op mij, want ik dwaalde af</v>
      </c>
      <c r="B444" s="4">
        <v>443</v>
      </c>
      <c r="C444" s="4" t="s">
        <v>861</v>
      </c>
    </row>
    <row r="445" spans="1:3" ht="13" x14ac:dyDescent="0.15">
      <c r="A445" s="4" t="str">
        <f t="shared" si="1"/>
        <v>Opw 444 Heel mijn ziel roept naar U</v>
      </c>
      <c r="B445" s="4">
        <v>444</v>
      </c>
      <c r="C445" s="4" t="s">
        <v>862</v>
      </c>
    </row>
    <row r="446" spans="1:3" ht="13" x14ac:dyDescent="0.15">
      <c r="A446" s="4" t="str">
        <f t="shared" si="1"/>
        <v>Opw 445 Bron van levend water</v>
      </c>
      <c r="B446" s="4">
        <v>445</v>
      </c>
      <c r="C446" s="4" t="s">
        <v>863</v>
      </c>
    </row>
    <row r="447" spans="1:3" ht="13" x14ac:dyDescent="0.15">
      <c r="A447" s="4" t="str">
        <f t="shared" si="1"/>
        <v>Opw 446 Daar is kracht/Wilt u van zonde en schuld zijn verlost</v>
      </c>
      <c r="B447" s="4">
        <v>446</v>
      </c>
      <c r="C447" s="4" t="s">
        <v>864</v>
      </c>
    </row>
    <row r="448" spans="1:3" ht="13" x14ac:dyDescent="0.15">
      <c r="A448" s="4" t="str">
        <f t="shared" si="1"/>
        <v>Opw 447 Ik ben vrijgekocht</v>
      </c>
      <c r="B448" s="4">
        <v>447</v>
      </c>
      <c r="C448" s="4" t="s">
        <v>865</v>
      </c>
    </row>
    <row r="449" spans="1:3" ht="13" x14ac:dyDescent="0.15">
      <c r="A449" s="4" t="str">
        <f t="shared" si="1"/>
        <v>Opw 448 Hij, die de Zoon bevrijdt</v>
      </c>
      <c r="B449" s="4">
        <v>448</v>
      </c>
      <c r="C449" s="4" t="s">
        <v>866</v>
      </c>
    </row>
    <row r="450" spans="1:3" ht="13" x14ac:dyDescent="0.15">
      <c r="A450" s="4" t="str">
        <f t="shared" si="1"/>
        <v>Opw 449 k Ben zo blij</v>
      </c>
      <c r="B450" s="4">
        <v>449</v>
      </c>
      <c r="C450" s="6" t="s">
        <v>867</v>
      </c>
    </row>
    <row r="451" spans="1:3" ht="13" x14ac:dyDescent="0.15">
      <c r="A451" s="4" t="str">
        <f t="shared" si="1"/>
        <v>Opw 450 Laat uw kracht zien/Jezus regeert op zijn eeuwige troon</v>
      </c>
      <c r="B451" s="4">
        <v>450</v>
      </c>
      <c r="C451" s="4" t="s">
        <v>868</v>
      </c>
    </row>
    <row r="452" spans="1:3" ht="13" x14ac:dyDescent="0.15">
      <c r="A452" s="4" t="str">
        <f t="shared" si="1"/>
        <v>Opw 451 Ik hef mijn ogen</v>
      </c>
      <c r="B452" s="4">
        <v>451</v>
      </c>
      <c r="C452" s="4" t="s">
        <v>869</v>
      </c>
    </row>
    <row r="453" spans="1:3" ht="13" x14ac:dyDescent="0.15">
      <c r="A453" s="4" t="str">
        <f t="shared" si="1"/>
        <v>Opw 452 Kom, o Heil'ge Geest van God</v>
      </c>
      <c r="B453" s="4">
        <v>452</v>
      </c>
      <c r="C453" s="4" t="s">
        <v>870</v>
      </c>
    </row>
    <row r="454" spans="1:3" ht="13" x14ac:dyDescent="0.15">
      <c r="A454" s="4" t="str">
        <f t="shared" si="1"/>
        <v>Opw 453 Jezus, Jezus, heilige gezalfde Heer</v>
      </c>
      <c r="B454" s="4">
        <v>453</v>
      </c>
      <c r="C454" s="4" t="s">
        <v>871</v>
      </c>
    </row>
    <row r="455" spans="1:3" ht="13" x14ac:dyDescent="0.15">
      <c r="A455" s="4" t="str">
        <f t="shared" si="1"/>
        <v>Opw 454 Eeuwige God/Zegen, aanbidding</v>
      </c>
      <c r="B455" s="4">
        <v>454</v>
      </c>
      <c r="C455" s="4" t="s">
        <v>872</v>
      </c>
    </row>
    <row r="456" spans="1:3" ht="13" x14ac:dyDescent="0.15">
      <c r="A456" s="4" t="str">
        <f t="shared" si="1"/>
        <v>Opw 455 Wij gaan door over grenzen</v>
      </c>
      <c r="B456" s="4">
        <v>455</v>
      </c>
      <c r="C456" s="4" t="s">
        <v>873</v>
      </c>
    </row>
    <row r="457" spans="1:3" ht="13" x14ac:dyDescent="0.15">
      <c r="A457" s="4" t="str">
        <f t="shared" si="1"/>
        <v>Opw 456 Niet de macht van wapenen</v>
      </c>
      <c r="B457" s="4">
        <v>456</v>
      </c>
      <c r="C457" s="4" t="s">
        <v>874</v>
      </c>
    </row>
    <row r="458" spans="1:3" ht="13" x14ac:dyDescent="0.15">
      <c r="A458" s="4" t="str">
        <f t="shared" si="1"/>
        <v>Opw 457 Kom prijs de Heer</v>
      </c>
      <c r="B458" s="4">
        <v>457</v>
      </c>
      <c r="C458" s="4" t="s">
        <v>875</v>
      </c>
    </row>
    <row r="459" spans="1:3" ht="13" x14ac:dyDescent="0.15">
      <c r="A459" s="4" t="str">
        <f t="shared" si="1"/>
        <v>Opw 458 De Heer is hier in glorie en luister</v>
      </c>
      <c r="B459" s="4">
        <v>458</v>
      </c>
      <c r="C459" s="4" t="s">
        <v>876</v>
      </c>
    </row>
    <row r="460" spans="1:3" ht="13" x14ac:dyDescent="0.15">
      <c r="A460" s="4" t="str">
        <f t="shared" si="1"/>
        <v>Opw 459 Daar bij de rivier/Levend water, verfrissend, vrij;</v>
      </c>
      <c r="B460" s="4">
        <v>459</v>
      </c>
      <c r="C460" s="4" t="s">
        <v>877</v>
      </c>
    </row>
    <row r="461" spans="1:3" ht="13" x14ac:dyDescent="0.15">
      <c r="A461" s="4" t="str">
        <f t="shared" si="1"/>
        <v>Opw 460 Wat mij dierbaar was</v>
      </c>
      <c r="B461" s="4">
        <v>460</v>
      </c>
      <c r="C461" s="4" t="s">
        <v>878</v>
      </c>
    </row>
    <row r="462" spans="1:3" ht="13" x14ac:dyDescent="0.15">
      <c r="A462" s="4" t="str">
        <f t="shared" si="1"/>
        <v>Opw 461 Juich voor de Heer/Mijn Jezus, mijn redder</v>
      </c>
      <c r="B462" s="4">
        <v>461</v>
      </c>
      <c r="C462" s="4" t="s">
        <v>879</v>
      </c>
    </row>
    <row r="463" spans="1:3" ht="13" x14ac:dyDescent="0.15">
      <c r="A463" s="4" t="str">
        <f t="shared" si="1"/>
        <v>Opw 462 Aan uw voeten Heer</v>
      </c>
      <c r="B463" s="4">
        <v>462</v>
      </c>
      <c r="C463" s="4" t="s">
        <v>880</v>
      </c>
    </row>
    <row r="464" spans="1:3" ht="13" x14ac:dyDescent="0.15">
      <c r="A464" s="4" t="str">
        <f t="shared" si="1"/>
        <v>Opw 463 Vader, daal nu met uw Geest neer</v>
      </c>
      <c r="B464" s="4">
        <v>463</v>
      </c>
      <c r="C464" s="4" t="s">
        <v>881</v>
      </c>
    </row>
    <row r="465" spans="1:3" ht="13" x14ac:dyDescent="0.15">
      <c r="A465" s="4" t="str">
        <f t="shared" si="1"/>
        <v>Opw 464 Wees stil voor het aangezicht van God</v>
      </c>
      <c r="B465" s="4">
        <v>464</v>
      </c>
      <c r="C465" s="4" t="s">
        <v>301</v>
      </c>
    </row>
    <row r="466" spans="1:3" ht="13" x14ac:dyDescent="0.15">
      <c r="A466" s="4" t="str">
        <f t="shared" si="1"/>
        <v>Opw 465 Ik prijs U Heer, God van 't heelal</v>
      </c>
      <c r="B466" s="4">
        <v>465</v>
      </c>
      <c r="C466" s="4" t="s">
        <v>882</v>
      </c>
    </row>
    <row r="467" spans="1:3" ht="13" x14ac:dyDescent="0.15">
      <c r="A467" s="4" t="str">
        <f t="shared" si="1"/>
        <v>Opw 466 Wandel in het licht</v>
      </c>
      <c r="B467" s="4">
        <v>466</v>
      </c>
      <c r="C467" s="4" t="s">
        <v>883</v>
      </c>
    </row>
    <row r="468" spans="1:3" ht="13" x14ac:dyDescent="0.15">
      <c r="A468" s="4" t="str">
        <f t="shared" si="1"/>
        <v>Opw 467 Zend uw vuur/Wij zijn zout en wij zijn licht</v>
      </c>
      <c r="B468" s="4">
        <v>467</v>
      </c>
      <c r="C468" s="4" t="s">
        <v>884</v>
      </c>
    </row>
    <row r="469" spans="1:3" ht="13" x14ac:dyDescent="0.15">
      <c r="A469" s="4" t="str">
        <f t="shared" si="1"/>
        <v>Opw 468 Wij willen dat Jezus wordt verhoogd</v>
      </c>
      <c r="B469" s="4">
        <v>468</v>
      </c>
      <c r="C469" s="4" t="s">
        <v>885</v>
      </c>
    </row>
    <row r="470" spans="1:3" ht="13" x14ac:dyDescent="0.15">
      <c r="A470" s="4" t="str">
        <f t="shared" si="1"/>
        <v>Opw 469 Halleluja, Jezus Christus leeft!</v>
      </c>
      <c r="B470" s="4">
        <v>469</v>
      </c>
      <c r="C470" s="4" t="s">
        <v>886</v>
      </c>
    </row>
    <row r="471" spans="1:3" ht="13" x14ac:dyDescent="0.15">
      <c r="A471" s="4" t="str">
        <f t="shared" si="1"/>
        <v>Opw 470 Omdat U zoveel van mij hield/Heer, als ik denk aan wat U voor mij deed</v>
      </c>
      <c r="B471" s="4">
        <v>470</v>
      </c>
      <c r="C471" s="4" t="s">
        <v>887</v>
      </c>
    </row>
    <row r="472" spans="1:3" ht="13" x14ac:dyDescent="0.15">
      <c r="A472" s="4" t="str">
        <f t="shared" si="1"/>
        <v>Opw 471 Heer, raak mijn hart aan</v>
      </c>
      <c r="B472" s="4">
        <v>471</v>
      </c>
      <c r="C472" s="4" t="s">
        <v>888</v>
      </c>
    </row>
    <row r="473" spans="1:3" ht="13" x14ac:dyDescent="0.15">
      <c r="A473" s="4" t="str">
        <f t="shared" si="1"/>
        <v>Opw 472 Geloof, hoop en liefde/Blaas met de adem van uw Geest op ons</v>
      </c>
      <c r="B473" s="4">
        <v>472</v>
      </c>
      <c r="C473" s="4" t="s">
        <v>889</v>
      </c>
    </row>
    <row r="474" spans="1:3" ht="13" x14ac:dyDescent="0.15">
      <c r="A474" s="4" t="str">
        <f t="shared" si="1"/>
        <v>Opw 473 Dansend over de gouden straten/Zing een heerlijk lied van vreugde</v>
      </c>
      <c r="B474" s="4">
        <v>473</v>
      </c>
      <c r="C474" s="4" t="s">
        <v>890</v>
      </c>
    </row>
    <row r="475" spans="1:3" ht="13" x14ac:dyDescent="0.15">
      <c r="A475" s="4" t="str">
        <f t="shared" si="1"/>
        <v>Opw 474 Niemand is als U</v>
      </c>
      <c r="B475" s="4">
        <v>474</v>
      </c>
      <c r="C475" s="4" t="s">
        <v>891</v>
      </c>
    </row>
    <row r="476" spans="1:3" ht="13" x14ac:dyDescent="0.15">
      <c r="A476" s="4" t="str">
        <f t="shared" si="1"/>
        <v>Opw 475 Majesteit, Koning in eeuwigheid</v>
      </c>
      <c r="B476" s="4">
        <v>475</v>
      </c>
      <c r="C476" s="4" t="s">
        <v>892</v>
      </c>
    </row>
    <row r="477" spans="1:3" ht="13" x14ac:dyDescent="0.15">
      <c r="A477" s="4" t="str">
        <f t="shared" si="1"/>
        <v>Opw 476 O, wat een machtige God</v>
      </c>
      <c r="B477" s="4">
        <v>476</v>
      </c>
      <c r="C477" s="4" t="s">
        <v>893</v>
      </c>
    </row>
    <row r="478" spans="1:3" ht="13" x14ac:dyDescent="0.15">
      <c r="A478" s="4" t="str">
        <f t="shared" si="1"/>
        <v>Opw 477 Jezus, wij vieren dat U overwon</v>
      </c>
      <c r="B478" s="4">
        <v>477</v>
      </c>
      <c r="C478" s="4" t="s">
        <v>894</v>
      </c>
    </row>
    <row r="479" spans="1:3" ht="13" x14ac:dyDescent="0.15">
      <c r="A479" s="4" t="str">
        <f t="shared" si="1"/>
        <v>Opw 478 Speel nu luid op de trompet</v>
      </c>
      <c r="B479" s="4">
        <v>478</v>
      </c>
      <c r="C479" s="4" t="s">
        <v>895</v>
      </c>
    </row>
    <row r="480" spans="1:3" ht="13" x14ac:dyDescent="0.15">
      <c r="A480" s="4" t="str">
        <f t="shared" si="1"/>
        <v>Opw 479 Wij zijn meer dan overwinnaars</v>
      </c>
      <c r="B480" s="4">
        <v>479</v>
      </c>
      <c r="C480" s="4" t="s">
        <v>896</v>
      </c>
    </row>
    <row r="481" spans="1:3" ht="13" x14ac:dyDescent="0.15">
      <c r="A481" s="4" t="str">
        <f t="shared" si="1"/>
        <v>Opw 480 U stierf voor mij, mijn Jezus</v>
      </c>
      <c r="B481" s="4">
        <v>480</v>
      </c>
      <c r="C481" s="4" t="s">
        <v>897</v>
      </c>
    </row>
    <row r="482" spans="1:3" ht="13" x14ac:dyDescent="0.15">
      <c r="A482" s="4" t="str">
        <f t="shared" si="1"/>
        <v>Opw 481 Ik aanbid U</v>
      </c>
      <c r="B482" s="4">
        <v>481</v>
      </c>
      <c r="C482" s="4" t="s">
        <v>898</v>
      </c>
    </row>
    <row r="483" spans="1:3" ht="13" x14ac:dyDescent="0.15">
      <c r="A483" s="4" t="str">
        <f t="shared" si="1"/>
        <v>Opw 482 De Heer onze God: Hij is Koning</v>
      </c>
      <c r="B483" s="4">
        <v>482</v>
      </c>
      <c r="C483" s="4" t="s">
        <v>899</v>
      </c>
    </row>
    <row r="484" spans="1:3" ht="13" x14ac:dyDescent="0.15">
      <c r="A484" s="4" t="str">
        <f t="shared" si="1"/>
        <v>Opw 483 O zie, de Heer zit op zijn troon</v>
      </c>
      <c r="B484" s="4">
        <v>483</v>
      </c>
      <c r="C484" s="4" t="s">
        <v>900</v>
      </c>
    </row>
    <row r="485" spans="1:3" ht="13" x14ac:dyDescent="0.15">
      <c r="A485" s="4" t="str">
        <f t="shared" si="1"/>
        <v>Opw 484 Ik wil altijd zijn waar U bent</v>
      </c>
      <c r="B485" s="4">
        <v>484</v>
      </c>
      <c r="C485" s="4" t="s">
        <v>901</v>
      </c>
    </row>
    <row r="486" spans="1:3" ht="13" x14ac:dyDescent="0.15">
      <c r="A486" s="4" t="str">
        <f t="shared" si="1"/>
        <v>Opw 485 Wij doorbreken elke muur/Er is een plaats waar de Heer ons zegent</v>
      </c>
      <c r="B486" s="4">
        <v>485</v>
      </c>
      <c r="C486" s="4" t="s">
        <v>902</v>
      </c>
    </row>
    <row r="487" spans="1:3" ht="13" x14ac:dyDescent="0.15">
      <c r="A487" s="4" t="str">
        <f t="shared" si="1"/>
        <v>Opw 486 Ga dan in zijn naam/Wij zijn Gods kind'ren</v>
      </c>
      <c r="B487" s="4">
        <v>486</v>
      </c>
      <c r="C487" s="4" t="s">
        <v>903</v>
      </c>
    </row>
    <row r="488" spans="1:3" ht="13" x14ac:dyDescent="0.15">
      <c r="A488" s="4" t="str">
        <f t="shared" si="1"/>
        <v>Opw 487 O Heer, giet een stroom</v>
      </c>
      <c r="B488" s="4">
        <v>487</v>
      </c>
      <c r="C488" s="4" t="s">
        <v>904</v>
      </c>
    </row>
    <row r="489" spans="1:3" ht="13" x14ac:dyDescent="0.15">
      <c r="A489" s="4" t="str">
        <f t="shared" si="1"/>
        <v>Opw 488 Heer, ik kom tot U, neem mijn hart</v>
      </c>
      <c r="B489" s="4">
        <v>488</v>
      </c>
      <c r="C489" s="4" t="s">
        <v>905</v>
      </c>
    </row>
    <row r="490" spans="1:3" ht="13" x14ac:dyDescent="0.15">
      <c r="A490" s="4" t="str">
        <f t="shared" si="1"/>
        <v>Opw 489 U bent Vader van de schepping/Wij willen U ontmoeten</v>
      </c>
      <c r="B490" s="4">
        <v>489</v>
      </c>
      <c r="C490" s="4" t="s">
        <v>906</v>
      </c>
    </row>
    <row r="491" spans="1:3" ht="13" x14ac:dyDescent="0.15">
      <c r="A491" s="4" t="str">
        <f t="shared" si="1"/>
        <v>Opw 490 Luid gejuich en jubellied vervullen het huis</v>
      </c>
      <c r="B491" s="4">
        <v>490</v>
      </c>
      <c r="C491" s="4" t="s">
        <v>907</v>
      </c>
    </row>
    <row r="492" spans="1:3" ht="13" x14ac:dyDescent="0.15">
      <c r="A492" s="4" t="str">
        <f t="shared" si="1"/>
        <v>Opw 491 Kom, wees blij in de Heer</v>
      </c>
      <c r="B492" s="4">
        <v>491</v>
      </c>
      <c r="C492" s="4" t="s">
        <v>908</v>
      </c>
    </row>
    <row r="493" spans="1:3" ht="13" x14ac:dyDescent="0.15">
      <c r="A493" s="4" t="str">
        <f t="shared" si="1"/>
        <v>Opw 492 Groot is de luister van Jezus/Wie kleurt de zon als de dag openbloeit</v>
      </c>
      <c r="B493" s="4">
        <v>492</v>
      </c>
      <c r="C493" s="4" t="s">
        <v>909</v>
      </c>
    </row>
    <row r="494" spans="1:3" ht="13" x14ac:dyDescent="0.15">
      <c r="A494" s="4" t="str">
        <f t="shared" si="1"/>
        <v>Opw 493 Jezus, wat een heerlijke naam</v>
      </c>
      <c r="B494" s="4">
        <v>493</v>
      </c>
      <c r="C494" s="4" t="s">
        <v>910</v>
      </c>
    </row>
    <row r="495" spans="1:3" ht="13" x14ac:dyDescent="0.15">
      <c r="A495" s="4" t="str">
        <f t="shared" si="1"/>
        <v>Opw 494 Uw liefde heb ik lief/Soms als ik uw liefde voel</v>
      </c>
      <c r="B495" s="4">
        <v>494</v>
      </c>
      <c r="C495" s="4" t="s">
        <v>911</v>
      </c>
    </row>
    <row r="496" spans="1:3" ht="13" x14ac:dyDescent="0.15">
      <c r="A496" s="4" t="str">
        <f t="shared" si="1"/>
        <v>Opw 495 Hemelse Vader, door uw genade</v>
      </c>
      <c r="B496" s="4">
        <v>495</v>
      </c>
      <c r="C496" s="4" t="s">
        <v>912</v>
      </c>
    </row>
    <row r="497" spans="1:3" ht="13" x14ac:dyDescent="0.15">
      <c r="A497" s="4" t="str">
        <f t="shared" si="1"/>
        <v>Opw 496 Kadosh / Heilig</v>
      </c>
      <c r="B497" s="4">
        <v>496</v>
      </c>
      <c r="C497" s="4" t="s">
        <v>913</v>
      </c>
    </row>
    <row r="498" spans="1:3" ht="13" x14ac:dyDescent="0.15">
      <c r="A498" s="4" t="str">
        <f t="shared" si="1"/>
        <v>Opw 497 Ik wil leven door uw Geest</v>
      </c>
      <c r="B498" s="4">
        <v>497</v>
      </c>
      <c r="C498" s="4" t="s">
        <v>914</v>
      </c>
    </row>
    <row r="499" spans="1:3" ht="13" x14ac:dyDescent="0.15">
      <c r="A499" s="4" t="str">
        <f t="shared" si="1"/>
        <v>Opw 498 Alleen door U/Er is een stad met gouden straten</v>
      </c>
      <c r="B499" s="4">
        <v>498</v>
      </c>
      <c r="C499" s="4" t="s">
        <v>915</v>
      </c>
    </row>
    <row r="500" spans="1:3" ht="13" x14ac:dyDescent="0.15">
      <c r="A500" s="4" t="str">
        <f t="shared" si="1"/>
        <v>Opw 499 Hij komt in majesteit/Zie het Lam van God: Hij nadert</v>
      </c>
      <c r="B500" s="4">
        <v>499</v>
      </c>
      <c r="C500" s="4" t="s">
        <v>916</v>
      </c>
    </row>
    <row r="501" spans="1:3" ht="13" x14ac:dyDescent="0.15">
      <c r="A501" s="4" t="str">
        <f t="shared" si="1"/>
        <v>Opw 500 Heer, ik prijs uw naam</v>
      </c>
      <c r="B501" s="4">
        <v>500</v>
      </c>
      <c r="C501" s="4" t="s">
        <v>917</v>
      </c>
    </row>
    <row r="502" spans="1:3" ht="13" x14ac:dyDescent="0.15">
      <c r="A502" s="4" t="str">
        <f t="shared" si="1"/>
        <v>Opw 501 Laat uw vrede heersen/Vader, mijn God, ik aanbid U</v>
      </c>
      <c r="B502" s="4">
        <v>501</v>
      </c>
      <c r="C502" s="4" t="s">
        <v>918</v>
      </c>
    </row>
    <row r="503" spans="1:3" ht="13" x14ac:dyDescent="0.15">
      <c r="A503" s="4" t="str">
        <f t="shared" si="1"/>
        <v>Opw 502 Jezus, ik wil heel dicht bij U komen</v>
      </c>
      <c r="B503" s="4">
        <v>502</v>
      </c>
      <c r="C503" s="4" t="s">
        <v>919</v>
      </c>
    </row>
    <row r="504" spans="1:3" ht="13" x14ac:dyDescent="0.15">
      <c r="A504" s="4" t="str">
        <f t="shared" si="1"/>
        <v>Opw 503 Overvloedig geef Ik u / Vrede zij u(overvloedig)</v>
      </c>
      <c r="B504" s="4">
        <v>503</v>
      </c>
      <c r="C504" s="4" t="s">
        <v>920</v>
      </c>
    </row>
    <row r="505" spans="1:3" ht="13" x14ac:dyDescent="0.15">
      <c r="A505" s="4" t="str">
        <f t="shared" si="1"/>
        <v>Opw 504 Roep het luid/Hoor, een roep klinkt wereldwijd</v>
      </c>
      <c r="B505" s="4">
        <v>504</v>
      </c>
      <c r="C505" s="4" t="s">
        <v>921</v>
      </c>
    </row>
    <row r="506" spans="1:3" ht="13" x14ac:dyDescent="0.15">
      <c r="A506" s="4" t="str">
        <f t="shared" si="1"/>
        <v>Opw 505 Toon uw heerlijkheid/Vader van de schepping</v>
      </c>
      <c r="B506" s="4">
        <v>505</v>
      </c>
      <c r="C506" s="4" t="s">
        <v>922</v>
      </c>
    </row>
    <row r="507" spans="1:3" ht="13" x14ac:dyDescent="0.15">
      <c r="A507" s="4" t="str">
        <f t="shared" si="1"/>
        <v>Opw 506 Zing het lied van het Lam/Ik zing van het Lam</v>
      </c>
      <c r="B507" s="4">
        <v>506</v>
      </c>
      <c r="C507" s="4" t="s">
        <v>923</v>
      </c>
    </row>
    <row r="508" spans="1:3" ht="13" x14ac:dyDescent="0.15">
      <c r="A508" s="4" t="str">
        <f t="shared" si="1"/>
        <v>Opw 507 t Is goed om U te ontmoeten</v>
      </c>
      <c r="B508" s="4">
        <v>507</v>
      </c>
      <c r="C508" s="6" t="s">
        <v>924</v>
      </c>
    </row>
    <row r="509" spans="1:3" ht="13" x14ac:dyDescent="0.15">
      <c r="A509" s="4" t="str">
        <f t="shared" si="1"/>
        <v>Opw 508 God is zo groot</v>
      </c>
      <c r="B509" s="4">
        <v>508</v>
      </c>
      <c r="C509" s="4" t="s">
        <v>925</v>
      </c>
    </row>
    <row r="510" spans="1:3" ht="13" x14ac:dyDescent="0.15">
      <c r="A510" s="4" t="str">
        <f t="shared" si="1"/>
        <v>Opw 509 Zo lief had God de Vader ons</v>
      </c>
      <c r="B510" s="4">
        <v>509</v>
      </c>
      <c r="C510" s="4" t="s">
        <v>322</v>
      </c>
    </row>
    <row r="511" spans="1:3" ht="13" x14ac:dyDescent="0.15">
      <c r="A511" s="4" t="str">
        <f t="shared" si="1"/>
        <v>Opw 510 Dit is mijn verlangen/ Ik geef U mijn hart</v>
      </c>
      <c r="B511" s="4">
        <v>510</v>
      </c>
      <c r="C511" s="4" t="s">
        <v>926</v>
      </c>
    </row>
    <row r="512" spans="1:3" ht="13" x14ac:dyDescent="0.15">
      <c r="A512" s="4" t="str">
        <f t="shared" si="1"/>
        <v>Opw 511 Heer van genade/Maak mijn hart vol van uw heerlijkheid</v>
      </c>
      <c r="B512" s="4">
        <v>511</v>
      </c>
      <c r="C512" s="4" t="s">
        <v>927</v>
      </c>
    </row>
    <row r="513" spans="1:3" ht="13" x14ac:dyDescent="0.15">
      <c r="A513" s="4" t="str">
        <f t="shared" ref="A513:A767" si="2">IF(NOT(ISBLANK(B513)), CONCATENATE("Opw ", B513, " ", C513), "")</f>
        <v>Opw 512 Wij verhogen U</v>
      </c>
      <c r="B513" s="4">
        <v>512</v>
      </c>
      <c r="C513" s="4" t="s">
        <v>928</v>
      </c>
    </row>
    <row r="514" spans="1:3" ht="13" x14ac:dyDescent="0.15">
      <c r="A514" s="4" t="str">
        <f t="shared" si="2"/>
        <v>Opw 513 Halleluja, halleluja, halleluja/ De almachtige God</v>
      </c>
      <c r="B514" s="4">
        <v>513</v>
      </c>
      <c r="C514" s="4" t="s">
        <v>929</v>
      </c>
    </row>
    <row r="515" spans="1:3" ht="13" x14ac:dyDescent="0.15">
      <c r="A515" s="4" t="str">
        <f t="shared" si="2"/>
        <v>Opw 514 I went to the enemy’s camp</v>
      </c>
      <c r="B515" s="4">
        <v>514</v>
      </c>
      <c r="C515" s="4" t="s">
        <v>930</v>
      </c>
    </row>
    <row r="516" spans="1:3" ht="13" x14ac:dyDescent="0.15">
      <c r="A516" s="4" t="str">
        <f t="shared" si="2"/>
        <v>Opw 515 Can you believe</v>
      </c>
      <c r="B516" s="4">
        <v>515</v>
      </c>
      <c r="C516" s="4" t="s">
        <v>931</v>
      </c>
    </row>
    <row r="517" spans="1:3" ht="13" x14ac:dyDescent="0.15">
      <c r="A517" s="4" t="str">
        <f t="shared" si="2"/>
        <v>Opw 516 Look what the Lord has done</v>
      </c>
      <c r="B517" s="4">
        <v>516</v>
      </c>
      <c r="C517" s="4" t="s">
        <v>932</v>
      </c>
    </row>
    <row r="518" spans="1:3" ht="13" x14ac:dyDescent="0.15">
      <c r="A518" s="4" t="str">
        <f t="shared" si="2"/>
        <v>Opw 517 Gezegend zijn zij</v>
      </c>
      <c r="B518" s="4">
        <v>517</v>
      </c>
      <c r="C518" s="4" t="s">
        <v>933</v>
      </c>
    </row>
    <row r="519" spans="1:3" ht="13" x14ac:dyDescent="0.15">
      <c r="A519" s="4" t="str">
        <f t="shared" si="2"/>
        <v>Opw 518 Heer, U bent altijd bij mij/Heer, U doorgrondt en kent mij</v>
      </c>
      <c r="B519" s="4">
        <v>518</v>
      </c>
      <c r="C519" s="4" t="s">
        <v>934</v>
      </c>
    </row>
    <row r="520" spans="1:3" ht="13" x14ac:dyDescent="0.15">
      <c r="A520" s="4" t="str">
        <f t="shared" si="2"/>
        <v>Opw 519 Ik vertrouw op U</v>
      </c>
      <c r="B520" s="4">
        <v>519</v>
      </c>
      <c r="C520" s="4" t="s">
        <v>935</v>
      </c>
    </row>
    <row r="521" spans="1:3" ht="13" x14ac:dyDescent="0.15">
      <c r="A521" s="4" t="str">
        <f t="shared" si="2"/>
        <v>Opw 520 Wees mijn verlangen</v>
      </c>
      <c r="B521" s="4">
        <v>520</v>
      </c>
      <c r="C521" s="4" t="s">
        <v>936</v>
      </c>
    </row>
    <row r="522" spans="1:3" ht="13" x14ac:dyDescent="0.15">
      <c r="A522" s="4" t="str">
        <f t="shared" si="2"/>
        <v>Opw 521 Ik ren naar U toe/U zorgt voor heel de schepping</v>
      </c>
      <c r="B522" s="4">
        <v>521</v>
      </c>
      <c r="C522" s="4" t="s">
        <v>937</v>
      </c>
    </row>
    <row r="523" spans="1:3" ht="13" x14ac:dyDescent="0.15">
      <c r="A523" s="4" t="str">
        <f t="shared" si="2"/>
        <v>Opw 522 Er komt een tijd van grote opwekking/Vader, stort uw Geest uit</v>
      </c>
      <c r="B523" s="4">
        <v>522</v>
      </c>
      <c r="C523" s="4" t="s">
        <v>938</v>
      </c>
    </row>
    <row r="524" spans="1:3" ht="13" x14ac:dyDescent="0.15">
      <c r="A524" s="4" t="str">
        <f t="shared" si="2"/>
        <v>Opw 523 De sterre gaat stralen/Laat ieder het horen</v>
      </c>
      <c r="B524" s="4">
        <v>523</v>
      </c>
      <c r="C524" s="4" t="s">
        <v>939</v>
      </c>
    </row>
    <row r="525" spans="1:3" ht="13" x14ac:dyDescent="0.15">
      <c r="A525" s="4" t="str">
        <f t="shared" si="2"/>
        <v>Opw 524 Het licht verschijnt/Als 's morgens de zon opgaat</v>
      </c>
      <c r="B525" s="4">
        <v>524</v>
      </c>
      <c r="C525" s="4" t="s">
        <v>940</v>
      </c>
    </row>
    <row r="526" spans="1:3" ht="13" x14ac:dyDescent="0.15">
      <c r="A526" s="4" t="str">
        <f t="shared" si="2"/>
        <v>Opw 525 Jubel het uit</v>
      </c>
      <c r="B526" s="4">
        <v>525</v>
      </c>
      <c r="C526" s="4" t="s">
        <v>941</v>
      </c>
    </row>
    <row r="527" spans="1:3" ht="13" x14ac:dyDescent="0.15">
      <c r="A527" s="4" t="str">
        <f t="shared" si="2"/>
        <v>Opw 526 Goed nieuws, goed nieuws</v>
      </c>
      <c r="B527" s="4">
        <v>526</v>
      </c>
      <c r="C527" s="4" t="s">
        <v>942</v>
      </c>
    </row>
    <row r="528" spans="1:3" ht="13" x14ac:dyDescent="0.15">
      <c r="A528" s="4" t="str">
        <f t="shared" si="2"/>
        <v>Opw 527 Licht in de nacht</v>
      </c>
      <c r="B528" s="4">
        <v>527</v>
      </c>
      <c r="C528" s="4" t="s">
        <v>943</v>
      </c>
    </row>
    <row r="529" spans="1:3" ht="13" x14ac:dyDescent="0.15">
      <c r="A529" s="4" t="str">
        <f t="shared" si="2"/>
        <v>Opw 528 Hoor, de engelen zingen de eer</v>
      </c>
      <c r="B529" s="4">
        <v>528</v>
      </c>
      <c r="C529" s="4" t="s">
        <v>944</v>
      </c>
    </row>
    <row r="530" spans="1:3" ht="13" x14ac:dyDescent="0.15">
      <c r="A530" s="4" t="str">
        <f t="shared" si="2"/>
        <v>Opw 529 Komt, laten wij aanbidden</v>
      </c>
      <c r="B530" s="4">
        <v>529</v>
      </c>
      <c r="C530" s="4" t="s">
        <v>945</v>
      </c>
    </row>
    <row r="531" spans="1:3" ht="13" x14ac:dyDescent="0.15">
      <c r="A531" s="4" t="str">
        <f t="shared" si="2"/>
        <v>Opw 530 Bewijs nu eer aan Jezus’ naam</v>
      </c>
      <c r="B531" s="4">
        <v>530</v>
      </c>
      <c r="C531" s="4" t="s">
        <v>946</v>
      </c>
    </row>
    <row r="532" spans="1:3" ht="13" x14ac:dyDescent="0.15">
      <c r="A532" s="4" t="str">
        <f t="shared" si="2"/>
        <v>Opw 531 Immanuël, o Immanuël</v>
      </c>
      <c r="B532" s="4">
        <v>531</v>
      </c>
      <c r="C532" s="4" t="s">
        <v>947</v>
      </c>
    </row>
    <row r="533" spans="1:3" ht="13" x14ac:dyDescent="0.15">
      <c r="A533" s="4" t="str">
        <f t="shared" si="2"/>
        <v>Opw 532 Wees gerust</v>
      </c>
      <c r="B533" s="4">
        <v>532</v>
      </c>
      <c r="C533" s="4" t="s">
        <v>948</v>
      </c>
    </row>
    <row r="534" spans="1:3" ht="13" x14ac:dyDescent="0.15">
      <c r="A534" s="4" t="str">
        <f t="shared" si="2"/>
        <v>Opw 533 Eén klein kind</v>
      </c>
      <c r="B534" s="4">
        <v>533</v>
      </c>
      <c r="C534" s="4" t="s">
        <v>949</v>
      </c>
    </row>
    <row r="535" spans="1:3" ht="13" x14ac:dyDescent="0.15">
      <c r="A535" s="4" t="str">
        <f t="shared" si="2"/>
        <v>Opw 534 Jezus, Gods heerlijkheid verschijnt</v>
      </c>
      <c r="B535" s="4">
        <v>534</v>
      </c>
      <c r="C535" s="4" t="s">
        <v>950</v>
      </c>
    </row>
    <row r="536" spans="1:3" ht="13" x14ac:dyDescent="0.15">
      <c r="A536" s="4" t="str">
        <f t="shared" si="2"/>
        <v>Opw 535 In het stro van een geleende kribbe</v>
      </c>
      <c r="B536" s="4">
        <v>535</v>
      </c>
      <c r="C536" s="4" t="s">
        <v>951</v>
      </c>
    </row>
    <row r="537" spans="1:3" ht="13" x14ac:dyDescent="0.15">
      <c r="A537" s="4" t="str">
        <f t="shared" si="2"/>
        <v>Opw 536 Kind van het licht (Zuiderveld)/Hoe lang heeft de mensheid gebeden</v>
      </c>
      <c r="B537" s="4">
        <v>536</v>
      </c>
      <c r="C537" s="4" t="s">
        <v>952</v>
      </c>
    </row>
    <row r="538" spans="1:3" ht="13" x14ac:dyDescent="0.15">
      <c r="A538" s="4" t="str">
        <f t="shared" si="2"/>
        <v>Opw 537 Ere zij God, ere zij God</v>
      </c>
      <c r="B538" s="4">
        <v>537</v>
      </c>
      <c r="C538" s="4" t="s">
        <v>953</v>
      </c>
    </row>
    <row r="539" spans="1:3" ht="13" x14ac:dyDescent="0.15">
      <c r="A539" s="4" t="str">
        <f t="shared" si="2"/>
        <v>Opw 538 De Koning komt, dit is het uur</v>
      </c>
      <c r="B539" s="4">
        <v>538</v>
      </c>
      <c r="C539" s="4" t="s">
        <v>956</v>
      </c>
    </row>
    <row r="540" spans="1:3" ht="13" x14ac:dyDescent="0.15">
      <c r="A540" s="4" t="str">
        <f t="shared" si="2"/>
        <v>Opw 539 Kom, nu is de tijd: aanbid Hem</v>
      </c>
      <c r="B540" s="4">
        <v>539</v>
      </c>
      <c r="C540" s="4" t="s">
        <v>959</v>
      </c>
    </row>
    <row r="541" spans="1:3" ht="13" x14ac:dyDescent="0.15">
      <c r="A541" s="4" t="str">
        <f t="shared" si="2"/>
        <v>Opw 540 Kom, laten wij aanbidden/Hij mat de wateren met zijn hand</v>
      </c>
      <c r="B541" s="4">
        <v>540</v>
      </c>
      <c r="C541" s="4" t="s">
        <v>965</v>
      </c>
    </row>
    <row r="542" spans="1:3" ht="13" x14ac:dyDescent="0.15">
      <c r="A542" s="4" t="str">
        <f t="shared" si="2"/>
        <v>Opw 541 Alles is mogelijk/Almachtig God die mij bevrijdt</v>
      </c>
      <c r="B542" s="4">
        <v>541</v>
      </c>
      <c r="C542" s="4" t="s">
        <v>966</v>
      </c>
    </row>
    <row r="543" spans="1:3" ht="13" x14ac:dyDescent="0.15">
      <c r="A543" s="4" t="str">
        <f t="shared" si="2"/>
        <v>Opw 542 God van trouw</v>
      </c>
      <c r="B543" s="4">
        <v>542</v>
      </c>
      <c r="C543" s="4" t="s">
        <v>968</v>
      </c>
    </row>
    <row r="544" spans="1:3" ht="13" x14ac:dyDescent="0.15">
      <c r="A544" s="4" t="str">
        <f t="shared" si="2"/>
        <v>Opw 543 U bent de Heer die ik dien/U maakte mij tot een ander mens</v>
      </c>
      <c r="B544" s="4">
        <v>543</v>
      </c>
      <c r="C544" s="4" t="s">
        <v>970</v>
      </c>
    </row>
    <row r="545" spans="1:3" ht="13" x14ac:dyDescent="0.15">
      <c r="A545" s="4" t="str">
        <f t="shared" si="2"/>
        <v>Opw 544 Meer dan ooit/Meer dan rijkdom, meer dan macht</v>
      </c>
      <c r="B545" s="4">
        <v>544</v>
      </c>
      <c r="C545" s="4" t="s">
        <v>972</v>
      </c>
    </row>
    <row r="546" spans="1:3" ht="13" x14ac:dyDescent="0.15">
      <c r="A546" s="4" t="str">
        <f t="shared" si="2"/>
        <v>Opw 545 Op dat moment/Jezus, Heer, wanneer ik aan uw offer denk</v>
      </c>
      <c r="B546" s="4">
        <v>545</v>
      </c>
      <c r="C546" s="4" t="s">
        <v>973</v>
      </c>
    </row>
    <row r="547" spans="1:3" ht="13" x14ac:dyDescent="0.15">
      <c r="A547" s="4" t="str">
        <f t="shared" si="2"/>
        <v>Opw 546 Nabij Gods hoog verheven troon</v>
      </c>
      <c r="B547" s="4">
        <v>546</v>
      </c>
      <c r="C547" s="4" t="s">
        <v>975</v>
      </c>
    </row>
    <row r="548" spans="1:3" ht="13" x14ac:dyDescent="0.15">
      <c r="A548" s="4" t="str">
        <f t="shared" si="2"/>
        <v>Opw 547 Vrolijk lied/Ik kan wel blijven zingen</v>
      </c>
      <c r="B548" s="4">
        <v>547</v>
      </c>
      <c r="C548" s="4" t="s">
        <v>980</v>
      </c>
    </row>
    <row r="549" spans="1:3" ht="13" x14ac:dyDescent="0.15">
      <c r="A549" s="4" t="str">
        <f t="shared" si="2"/>
        <v>Opw 548 Hart van aanbidding/ De muziek vervaagt</v>
      </c>
      <c r="B549" s="4">
        <v>548</v>
      </c>
      <c r="C549" s="4" t="s">
        <v>982</v>
      </c>
    </row>
    <row r="550" spans="1:3" ht="13" x14ac:dyDescent="0.15">
      <c r="A550" s="4" t="str">
        <f t="shared" si="2"/>
        <v>Opw 549 Ik kniel neer en belijd</v>
      </c>
      <c r="B550" s="4">
        <v>549</v>
      </c>
      <c r="C550" s="4" t="s">
        <v>984</v>
      </c>
    </row>
    <row r="551" spans="1:3" ht="13" x14ac:dyDescent="0.15">
      <c r="A551" s="4" t="str">
        <f t="shared" si="2"/>
        <v>Opw 550 Liefdevol trekt U mij dicht aan uw hart</v>
      </c>
      <c r="B551" s="4">
        <v>550</v>
      </c>
      <c r="C551" s="4" t="s">
        <v>986</v>
      </c>
    </row>
    <row r="552" spans="1:3" ht="13" x14ac:dyDescent="0.15">
      <c r="A552" s="4" t="str">
        <f t="shared" si="2"/>
        <v>Opw 551 Ik zie uit naar de dag</v>
      </c>
      <c r="B552" s="4">
        <v>551</v>
      </c>
      <c r="C552" s="4" t="s">
        <v>989</v>
      </c>
    </row>
    <row r="553" spans="1:3" ht="13" x14ac:dyDescent="0.15">
      <c r="A553" s="4" t="str">
        <f t="shared" si="2"/>
        <v>Opw 552 Herstel ons land/Als mijn volk zich vernedert voor Mij</v>
      </c>
      <c r="B553" s="4">
        <v>552</v>
      </c>
      <c r="C553" s="4" t="s">
        <v>991</v>
      </c>
    </row>
    <row r="554" spans="1:3" ht="13" x14ac:dyDescent="0.15">
      <c r="A554" s="4" t="str">
        <f t="shared" si="2"/>
        <v>Opw 553 Hoor ons loflied/Laat het feest zijn in de huizen</v>
      </c>
      <c r="B554" s="4">
        <v>553</v>
      </c>
      <c r="C554" s="4" t="s">
        <v>993</v>
      </c>
    </row>
    <row r="555" spans="1:3" ht="13" x14ac:dyDescent="0.15">
      <c r="A555" s="4" t="str">
        <f t="shared" si="2"/>
        <v>Opw 554 Mijn verlosser leeft/Ik weet: Hij heeft mij gered</v>
      </c>
      <c r="B555" s="4">
        <v>554</v>
      </c>
      <c r="C555" s="4" t="s">
        <v>995</v>
      </c>
    </row>
    <row r="556" spans="1:3" ht="13" x14ac:dyDescent="0.15">
      <c r="A556" s="4" t="str">
        <f t="shared" si="2"/>
        <v>Opw 555 Ik geloof in het bloed van Jezus</v>
      </c>
      <c r="B556" s="4">
        <v>555</v>
      </c>
      <c r="C556" s="4" t="s">
        <v>996</v>
      </c>
    </row>
    <row r="557" spans="1:3" ht="13" x14ac:dyDescent="0.15">
      <c r="A557" s="4" t="str">
        <f t="shared" si="2"/>
        <v>Opw 556 Prijst God die ons het leven geeft</v>
      </c>
      <c r="B557" s="4">
        <v>556</v>
      </c>
      <c r="C557" s="4" t="s">
        <v>998</v>
      </c>
    </row>
    <row r="558" spans="1:3" ht="13" x14ac:dyDescent="0.15">
      <c r="A558" s="4" t="str">
        <f t="shared" si="2"/>
        <v>Opw 557 Laat uw glorie zien</v>
      </c>
      <c r="B558" s="4">
        <v>557</v>
      </c>
      <c r="C558" s="4" t="s">
        <v>1000</v>
      </c>
    </row>
    <row r="559" spans="1:3" ht="13" x14ac:dyDescent="0.15">
      <c r="A559" s="4" t="str">
        <f t="shared" si="2"/>
        <v>Opw 558 Voor uw grote naam /Wij zijn als adem, U was er altijd</v>
      </c>
      <c r="B559" s="4">
        <v>558</v>
      </c>
      <c r="C559" s="4" t="s">
        <v>1001</v>
      </c>
    </row>
    <row r="560" spans="1:3" ht="13" x14ac:dyDescent="0.15">
      <c r="A560" s="4" t="str">
        <f t="shared" si="2"/>
        <v>Opw 559 Schijn met uw licht in mijn hart, Heer</v>
      </c>
      <c r="B560" s="4">
        <v>559</v>
      </c>
      <c r="C560" s="4" t="s">
        <v>1003</v>
      </c>
    </row>
    <row r="561" spans="1:3" ht="13" x14ac:dyDescent="0.15">
      <c r="A561" s="4" t="str">
        <f t="shared" si="2"/>
        <v>Opw 560 Mijn eerste liefde doet vuur oplaaien</v>
      </c>
      <c r="B561" s="4">
        <v>560</v>
      </c>
      <c r="C561" s="4" t="s">
        <v>1004</v>
      </c>
    </row>
    <row r="562" spans="1:3" ht="13" x14ac:dyDescent="0.15">
      <c r="A562" s="4" t="str">
        <f t="shared" si="2"/>
        <v>Opw 561 Nederig van hart/Hier aan uw voeten, Heer</v>
      </c>
      <c r="B562" s="4">
        <v>561</v>
      </c>
      <c r="C562" s="4" t="s">
        <v>1006</v>
      </c>
    </row>
    <row r="563" spans="1:3" ht="13" x14ac:dyDescent="0.15">
      <c r="A563" s="4" t="str">
        <f t="shared" si="2"/>
        <v>Opw 562 Voor altijd mijn vriend/U noemde mijn bij mijn naam</v>
      </c>
      <c r="B563" s="4">
        <v>562</v>
      </c>
      <c r="C563" s="4" t="s">
        <v>1008</v>
      </c>
    </row>
    <row r="564" spans="1:3" ht="13" x14ac:dyDescent="0.15">
      <c r="A564" s="4" t="str">
        <f t="shared" si="2"/>
        <v>Opw 563 I have a light</v>
      </c>
      <c r="B564" s="4">
        <v>563</v>
      </c>
      <c r="C564" s="4" t="s">
        <v>1009</v>
      </c>
    </row>
    <row r="565" spans="1:3" ht="13" x14ac:dyDescent="0.15">
      <c r="A565" s="4" t="str">
        <f t="shared" si="2"/>
        <v>Opw 564 Ik loop de wedloop die voor mij ligt</v>
      </c>
      <c r="B565" s="4">
        <v>564</v>
      </c>
      <c r="C565" s="4" t="s">
        <v>1011</v>
      </c>
    </row>
    <row r="566" spans="1:3" ht="13" x14ac:dyDescent="0.15">
      <c r="A566" s="4" t="str">
        <f t="shared" si="2"/>
        <v>Opw 565 Geest van God, blaas op mij</v>
      </c>
      <c r="B566" s="4">
        <v>565</v>
      </c>
      <c r="C566" s="4" t="s">
        <v>1013</v>
      </c>
    </row>
    <row r="567" spans="1:3" ht="13" x14ac:dyDescent="0.15">
      <c r="A567" s="4" t="str">
        <f t="shared" si="2"/>
        <v>Opw 566 Machtig Heer/Ik verlang naar uw aanwezigheid</v>
      </c>
      <c r="B567" s="4">
        <v>566</v>
      </c>
      <c r="C567" s="4" t="s">
        <v>1014</v>
      </c>
    </row>
    <row r="568" spans="1:3" ht="13" x14ac:dyDescent="0.15">
      <c r="A568" s="4" t="str">
        <f t="shared" si="2"/>
        <v>Opw 567 Jezus, Jezus, Heiland, Redder</v>
      </c>
      <c r="B568" s="4">
        <v>567</v>
      </c>
      <c r="C568" s="4" t="s">
        <v>1015</v>
      </c>
    </row>
    <row r="569" spans="1:3" ht="13" x14ac:dyDescent="0.15">
      <c r="A569" s="4" t="str">
        <f t="shared" si="2"/>
        <v>Opw 568 Vier nu feest, geef Hem eer</v>
      </c>
      <c r="B569" s="4">
        <v>568</v>
      </c>
      <c r="C569" s="4" t="s">
        <v>1017</v>
      </c>
    </row>
    <row r="570" spans="1:3" ht="13" x14ac:dyDescent="0.15">
      <c r="A570" s="4" t="str">
        <f t="shared" si="2"/>
        <v>Opw 569 Regeer in mij/Over al wat leeft, bent U de hoogste Heer</v>
      </c>
      <c r="B570" s="4">
        <v>569</v>
      </c>
      <c r="C570" s="4" t="s">
        <v>1018</v>
      </c>
    </row>
    <row r="571" spans="1:3" ht="13" x14ac:dyDescent="0.15">
      <c r="A571" s="4" t="str">
        <f t="shared" si="2"/>
        <v>Opw 570 Dit is de tijd van Elia</v>
      </c>
      <c r="B571" s="4">
        <v>570</v>
      </c>
      <c r="C571" s="4" t="s">
        <v>1021</v>
      </c>
    </row>
    <row r="572" spans="1:3" ht="13" x14ac:dyDescent="0.15">
      <c r="A572" s="4" t="str">
        <f t="shared" si="2"/>
        <v>Opw 571 Dit is de dag die de Heer ons geeft (Fitts)</v>
      </c>
      <c r="B572" s="4">
        <v>571</v>
      </c>
      <c r="C572" s="4" t="s">
        <v>1022</v>
      </c>
    </row>
    <row r="573" spans="1:3" ht="13" x14ac:dyDescent="0.15">
      <c r="A573" s="4" t="str">
        <f t="shared" si="2"/>
        <v>Opw 572 Als wij samenkomen</v>
      </c>
      <c r="B573" s="4">
        <v>572</v>
      </c>
      <c r="C573" s="4" t="s">
        <v>1023</v>
      </c>
    </row>
    <row r="574" spans="1:3" ht="13" x14ac:dyDescent="0.15">
      <c r="A574" s="4" t="str">
        <f t="shared" si="2"/>
        <v>Opw 573 U bent welkom/We zijn hier bij elkaar</v>
      </c>
      <c r="B574" s="4">
        <v>573</v>
      </c>
      <c r="C574" s="4" t="s">
        <v>1024</v>
      </c>
    </row>
    <row r="575" spans="1:3" ht="13" x14ac:dyDescent="0.15">
      <c r="A575" s="4" t="str">
        <f t="shared" si="2"/>
        <v>Opw 574 Groot is Hij</v>
      </c>
      <c r="B575" s="4">
        <v>574</v>
      </c>
      <c r="C575" s="4" t="s">
        <v>1025</v>
      </c>
    </row>
    <row r="576" spans="1:3" ht="13" x14ac:dyDescent="0.15">
      <c r="A576" s="4" t="str">
        <f t="shared" si="2"/>
        <v>Opw 575 Jezus alleen, ik bouw op Hem</v>
      </c>
      <c r="B576" s="4">
        <v>575</v>
      </c>
      <c r="C576" s="4" t="s">
        <v>1026</v>
      </c>
    </row>
    <row r="577" spans="1:3" ht="13" x14ac:dyDescent="0.15">
      <c r="A577" s="4" t="str">
        <f t="shared" si="2"/>
        <v>Opw 576 Immanuël/Als wij samen U aanbidden</v>
      </c>
      <c r="B577" s="4">
        <v>576</v>
      </c>
      <c r="C577" s="4" t="s">
        <v>1028</v>
      </c>
    </row>
    <row r="578" spans="1:3" ht="13" x14ac:dyDescent="0.15">
      <c r="A578" s="4" t="str">
        <f t="shared" si="2"/>
        <v>Opw 577 Jezus, allerhoogste naam</v>
      </c>
      <c r="B578" s="4">
        <v>577</v>
      </c>
      <c r="C578" s="4" t="s">
        <v>1029</v>
      </c>
    </row>
    <row r="579" spans="1:3" ht="13" x14ac:dyDescent="0.15">
      <c r="A579" s="4" t="str">
        <f t="shared" si="2"/>
        <v>Opw 578 U redde mij en riep mijn naam</v>
      </c>
      <c r="B579" s="4">
        <v>578</v>
      </c>
      <c r="C579" s="4" t="s">
        <v>1030</v>
      </c>
    </row>
    <row r="580" spans="1:3" ht="13" x14ac:dyDescent="0.15">
      <c r="A580" s="4" t="str">
        <f t="shared" si="2"/>
        <v>Opw 579 Dank U, dank U voor uw kostbare bloed</v>
      </c>
      <c r="B580" s="4">
        <v>579</v>
      </c>
      <c r="C580" s="4" t="s">
        <v>1031</v>
      </c>
    </row>
    <row r="581" spans="1:3" ht="13" x14ac:dyDescent="0.15">
      <c r="A581" s="4" t="str">
        <f t="shared" si="2"/>
        <v>Opw 580 Ik ben zo dankbaar/Jezus, Hij kwam om ons leven te geven</v>
      </c>
      <c r="B581" s="4">
        <v>580</v>
      </c>
      <c r="C581" s="4" t="s">
        <v>1032</v>
      </c>
    </row>
    <row r="582" spans="1:3" ht="13" x14ac:dyDescent="0.15">
      <c r="A582" s="4" t="str">
        <f t="shared" si="2"/>
        <v>Opw 581 Til mij op/Ik wil heel dicht bij U zijn</v>
      </c>
      <c r="B582" s="4">
        <v>581</v>
      </c>
      <c r="C582" s="4" t="s">
        <v>1034</v>
      </c>
    </row>
    <row r="583" spans="1:3" ht="13" x14ac:dyDescent="0.15">
      <c r="A583" s="4" t="str">
        <f t="shared" si="2"/>
        <v>Opw 582 Jezus, alles geef ik U</v>
      </c>
      <c r="B583" s="4">
        <v>582</v>
      </c>
      <c r="C583" s="4" t="s">
        <v>1037</v>
      </c>
    </row>
    <row r="584" spans="1:3" ht="13" x14ac:dyDescent="0.15">
      <c r="A584" s="4" t="str">
        <f t="shared" si="2"/>
        <v>Opw 583 Machtige Heer en God</v>
      </c>
      <c r="B584" s="4">
        <v>583</v>
      </c>
      <c r="C584" s="4" t="s">
        <v>1038</v>
      </c>
    </row>
    <row r="585" spans="1:3" ht="13" x14ac:dyDescent="0.15">
      <c r="A585" s="4" t="str">
        <f t="shared" si="2"/>
        <v>Opw 584 Heilig is de Heer onze God/ Zo machtig, zo waardig</v>
      </c>
      <c r="B585" s="4">
        <v>584</v>
      </c>
      <c r="C585" s="4" t="s">
        <v>1041</v>
      </c>
    </row>
    <row r="586" spans="1:3" ht="13" x14ac:dyDescent="0.15">
      <c r="A586" s="4" t="str">
        <f t="shared" si="2"/>
        <v>Opw 585 Er is een dag</v>
      </c>
      <c r="B586" s="4">
        <v>585</v>
      </c>
      <c r="C586" s="4" t="s">
        <v>1043</v>
      </c>
    </row>
    <row r="587" spans="1:3" ht="13" x14ac:dyDescent="0.15">
      <c r="A587" s="4" t="str">
        <f t="shared" si="2"/>
        <v>Opw 586 Hij is Heer/Heel de schepping geeft U eer</v>
      </c>
      <c r="B587" s="4">
        <v>586</v>
      </c>
      <c r="C587" s="4" t="s">
        <v>1044</v>
      </c>
    </row>
    <row r="588" spans="1:3" ht="13" x14ac:dyDescent="0.15">
      <c r="A588" s="4" t="str">
        <f t="shared" si="2"/>
        <v>Opw 587 U geeft een nieuw lied/Ik was verloren, maar U redde mij</v>
      </c>
      <c r="B588" s="4">
        <v>587</v>
      </c>
      <c r="C588" s="4" t="s">
        <v>1046</v>
      </c>
    </row>
    <row r="589" spans="1:3" ht="13" x14ac:dyDescent="0.15">
      <c r="A589" s="4" t="str">
        <f t="shared" si="2"/>
        <v>Opw 588 Er is geen vriend zo trouw als Jezus</v>
      </c>
      <c r="B589" s="4">
        <v>588</v>
      </c>
      <c r="C589" s="4" t="s">
        <v>1047</v>
      </c>
    </row>
    <row r="590" spans="1:3" ht="13" x14ac:dyDescent="0.15">
      <c r="A590" s="4" t="str">
        <f t="shared" si="2"/>
        <v>Opw 589 Ik wil juichen voor U, mijn Heer</v>
      </c>
      <c r="B590" s="4">
        <v>589</v>
      </c>
      <c r="C590" s="4" t="s">
        <v>1048</v>
      </c>
    </row>
    <row r="591" spans="1:3" ht="13" x14ac:dyDescent="0.15">
      <c r="A591" s="4" t="str">
        <f t="shared" si="2"/>
        <v>Opw 590 O mijn ziel, sta op en prijs je maker</v>
      </c>
      <c r="B591" s="4">
        <v>590</v>
      </c>
      <c r="C591" s="4" t="s">
        <v>1050</v>
      </c>
    </row>
    <row r="592" spans="1:3" ht="13" x14ac:dyDescent="0.15">
      <c r="A592" s="4" t="str">
        <f t="shared" si="2"/>
        <v>Opw 591 Ik zie de Heer</v>
      </c>
      <c r="B592" s="4">
        <v>591</v>
      </c>
      <c r="C592" s="4" t="s">
        <v>1051</v>
      </c>
    </row>
    <row r="593" spans="1:3" ht="13" x14ac:dyDescent="0.15">
      <c r="A593" s="4" t="str">
        <f t="shared" si="2"/>
        <v>Opw 592 God van licht, schijn in mij</v>
      </c>
      <c r="B593" s="4">
        <v>592</v>
      </c>
      <c r="C593" s="4" t="s">
        <v>1053</v>
      </c>
    </row>
    <row r="594" spans="1:3" ht="13" x14ac:dyDescent="0.15">
      <c r="A594" s="4" t="str">
        <f t="shared" si="2"/>
        <v>Opw 593 Lam van God, o, heilig Lam van God</v>
      </c>
      <c r="B594" s="4">
        <v>593</v>
      </c>
      <c r="C594" s="4" t="s">
        <v>1055</v>
      </c>
    </row>
    <row r="595" spans="1:3" ht="13" x14ac:dyDescent="0.15">
      <c r="A595" s="4" t="str">
        <f t="shared" si="2"/>
        <v>Opw 594 Uw naam is heilig/U bent 'Ik ben' op de troon</v>
      </c>
      <c r="B595" s="4">
        <v>594</v>
      </c>
      <c r="C595" s="4" t="s">
        <v>1056</v>
      </c>
    </row>
    <row r="596" spans="1:3" ht="13" x14ac:dyDescent="0.15">
      <c r="A596" s="4" t="str">
        <f t="shared" si="2"/>
        <v>Opw 595 Licht van de wereld</v>
      </c>
      <c r="B596" s="4">
        <v>595</v>
      </c>
      <c r="C596" s="4" t="s">
        <v>1058</v>
      </c>
    </row>
    <row r="597" spans="1:3" ht="13" x14ac:dyDescent="0.15">
      <c r="A597" s="4" t="str">
        <f t="shared" si="2"/>
        <v>Opw 596 Doordrenk mij, Heer/Uw liefde, stralend als de zon</v>
      </c>
      <c r="B597" s="4">
        <v>596</v>
      </c>
      <c r="C597" s="4" t="s">
        <v>1059</v>
      </c>
    </row>
    <row r="598" spans="1:3" ht="13" x14ac:dyDescent="0.15">
      <c r="A598" s="4" t="str">
        <f t="shared" si="2"/>
        <v>Opw 597 Uw liefde is zo prachtig</v>
      </c>
      <c r="B598" s="4">
        <v>597</v>
      </c>
      <c r="C598" s="4" t="s">
        <v>1061</v>
      </c>
    </row>
    <row r="599" spans="1:3" ht="13" x14ac:dyDescent="0.15">
      <c r="A599" s="4" t="str">
        <f t="shared" si="2"/>
        <v>Opw 598 Uw sterke hand/Machtige Heer, grote Verlosser</v>
      </c>
      <c r="B599" s="4">
        <v>598</v>
      </c>
      <c r="C599" s="4" t="s">
        <v>1062</v>
      </c>
    </row>
    <row r="600" spans="1:3" ht="13" x14ac:dyDescent="0.15">
      <c r="A600" s="4" t="str">
        <f t="shared" si="2"/>
        <v>Opw 599 Kom tot de Vader/Nog voordat je bestond</v>
      </c>
      <c r="B600" s="4">
        <v>599</v>
      </c>
      <c r="C600" s="4" t="s">
        <v>1064</v>
      </c>
    </row>
    <row r="601" spans="1:3" ht="13" x14ac:dyDescent="0.15">
      <c r="A601" s="4" t="str">
        <f t="shared" si="2"/>
        <v>Opw 600 Open mijn ogen voor de schoonheid van uw schepping</v>
      </c>
      <c r="B601" s="4">
        <v>600</v>
      </c>
      <c r="C601" s="4" t="s">
        <v>1066</v>
      </c>
    </row>
    <row r="602" spans="1:3" ht="13" x14ac:dyDescent="0.15">
      <c r="A602" s="4" t="str">
        <f t="shared" si="2"/>
        <v>Opw 601 Deel door ons uw liefde uit</v>
      </c>
      <c r="B602" s="4">
        <v>601</v>
      </c>
      <c r="C602" s="4" t="s">
        <v>1068</v>
      </c>
    </row>
    <row r="603" spans="1:3" ht="13" x14ac:dyDescent="0.15">
      <c r="A603" s="4" t="str">
        <f t="shared" si="2"/>
        <v>Opw 602 Vrede van God</v>
      </c>
      <c r="B603" s="4">
        <v>602</v>
      </c>
      <c r="C603" s="4" t="s">
        <v>1069</v>
      </c>
    </row>
    <row r="604" spans="1:3" ht="13" x14ac:dyDescent="0.15">
      <c r="A604" s="4" t="str">
        <f t="shared" si="2"/>
        <v>Opw 603 Vier nu feest, want God is goed/Ruil nu je rouwkleed in</v>
      </c>
      <c r="B604" s="4">
        <v>603</v>
      </c>
      <c r="C604" s="4" t="s">
        <v>1071</v>
      </c>
    </row>
    <row r="605" spans="1:3" ht="13" x14ac:dyDescent="0.15">
      <c r="A605" s="4" t="str">
        <f t="shared" si="2"/>
        <v>Opw 604 Kom en laat ons prijzen</v>
      </c>
      <c r="B605" s="4">
        <v>604</v>
      </c>
      <c r="C605" s="4" t="s">
        <v>1073</v>
      </c>
    </row>
    <row r="606" spans="1:3" ht="13" x14ac:dyDescent="0.15">
      <c r="A606" s="4" t="str">
        <f t="shared" si="2"/>
        <v>Opw 605 Geef ons een lofgewaad, Heer</v>
      </c>
      <c r="B606" s="4">
        <v>605</v>
      </c>
      <c r="C606" s="4" t="s">
        <v>1075</v>
      </c>
    </row>
    <row r="607" spans="1:3" ht="13" x14ac:dyDescent="0.15">
      <c r="A607" s="4" t="str">
        <f t="shared" si="2"/>
        <v>Opw 606 Veilig, veilig, veilig rustend in uw armen, Heer</v>
      </c>
      <c r="B607" s="4">
        <v>606</v>
      </c>
      <c r="C607" s="4" t="s">
        <v>1077</v>
      </c>
    </row>
    <row r="608" spans="1:3" ht="13" x14ac:dyDescent="0.15">
      <c r="A608" s="4" t="str">
        <f t="shared" si="2"/>
        <v>Opw 607 Machtige Redder/Elke dag wil ik zingen van uw liefde</v>
      </c>
      <c r="B608" s="4">
        <v>607</v>
      </c>
      <c r="C608" s="4" t="s">
        <v>1078</v>
      </c>
    </row>
    <row r="609" spans="1:3" ht="13" x14ac:dyDescent="0.15">
      <c r="A609" s="4" t="str">
        <f t="shared" si="2"/>
        <v>Opw 608 Waai met uw Geest, Heer</v>
      </c>
      <c r="B609" s="4">
        <v>608</v>
      </c>
      <c r="C609" s="4" t="s">
        <v>1080</v>
      </c>
    </row>
    <row r="610" spans="1:3" ht="13" x14ac:dyDescent="0.15">
      <c r="A610" s="4" t="str">
        <f t="shared" si="2"/>
        <v>Opw 609 U bent heilig</v>
      </c>
      <c r="B610" s="4">
        <v>609</v>
      </c>
      <c r="C610" s="4" t="s">
        <v>1082</v>
      </c>
    </row>
    <row r="611" spans="1:3" ht="13" x14ac:dyDescent="0.15">
      <c r="A611" s="4" t="str">
        <f t="shared" si="2"/>
        <v>Opw 610 Als gebed de hemel raakt/Wij staan voor uw troon</v>
      </c>
      <c r="B611" s="4">
        <v>610</v>
      </c>
      <c r="C611" s="4" t="s">
        <v>1083</v>
      </c>
    </row>
    <row r="612" spans="1:3" ht="13" x14ac:dyDescent="0.15">
      <c r="A612" s="4" t="str">
        <f t="shared" si="2"/>
        <v>Opw 611 Niet door kracht</v>
      </c>
      <c r="B612" s="4">
        <v>611</v>
      </c>
      <c r="C612" s="4" t="s">
        <v>1085</v>
      </c>
    </row>
    <row r="613" spans="1:3" ht="13" x14ac:dyDescent="0.15">
      <c r="A613" s="4" t="str">
        <f t="shared" si="2"/>
        <v>Opw 612 En ik kom tot U/In uw aanwezigheid</v>
      </c>
      <c r="B613" s="4">
        <v>612</v>
      </c>
      <c r="C613" s="4" t="s">
        <v>1087</v>
      </c>
    </row>
    <row r="614" spans="1:3" ht="13" x14ac:dyDescent="0.15">
      <c r="A614" s="4" t="str">
        <f t="shared" si="2"/>
        <v>Opw 613 Geliefde, Gezegende</v>
      </c>
      <c r="B614" s="4">
        <v>613</v>
      </c>
      <c r="C614" s="4" t="s">
        <v>1089</v>
      </c>
    </row>
    <row r="615" spans="1:3" ht="13" x14ac:dyDescent="0.15">
      <c r="A615" s="4" t="str">
        <f t="shared" si="2"/>
        <v>Opw 614 Uw genade is mij genoeg/Zie, hoe Jezus daar loopt in Jeruzalem</v>
      </c>
      <c r="B615" s="4">
        <v>614</v>
      </c>
      <c r="C615" s="4" t="s">
        <v>1091</v>
      </c>
    </row>
    <row r="616" spans="1:3" ht="13" x14ac:dyDescent="0.15">
      <c r="A616" s="4" t="str">
        <f t="shared" si="2"/>
        <v>Opw 615 Waardig is het Lam/Dank U voor het kruis Heer</v>
      </c>
      <c r="B616" s="4">
        <v>615</v>
      </c>
      <c r="C616" s="4" t="s">
        <v>1092</v>
      </c>
    </row>
    <row r="617" spans="1:3" ht="13" x14ac:dyDescent="0.15">
      <c r="A617" s="4" t="str">
        <f t="shared" si="2"/>
        <v>Opw 616 Houd me dicht bij U</v>
      </c>
      <c r="B617" s="4">
        <v>616</v>
      </c>
      <c r="C617" s="4" t="s">
        <v>1094</v>
      </c>
    </row>
    <row r="618" spans="1:3" ht="13" x14ac:dyDescent="0.15">
      <c r="A618" s="4" t="str">
        <f t="shared" si="2"/>
        <v>Opw 617 Hij kent mijn naam/Een machtig Maker</v>
      </c>
      <c r="B618" s="4">
        <v>617</v>
      </c>
      <c r="C618" s="4" t="s">
        <v>1096</v>
      </c>
    </row>
    <row r="619" spans="1:3" ht="13" x14ac:dyDescent="0.15">
      <c r="A619" s="4" t="str">
        <f t="shared" si="2"/>
        <v>Opw 618 Jezus, hoop van de volken</v>
      </c>
      <c r="B619" s="4">
        <v>618</v>
      </c>
      <c r="C619" s="4" t="s">
        <v>1098</v>
      </c>
    </row>
    <row r="620" spans="1:3" ht="13" x14ac:dyDescent="0.15">
      <c r="A620" s="4" t="str">
        <f t="shared" si="2"/>
        <v>Opw 619 Sta op en prijs Hem!//Kom nu hemel, wees blij</v>
      </c>
      <c r="B620" s="4">
        <v>619</v>
      </c>
      <c r="C620" s="4" t="s">
        <v>1099</v>
      </c>
    </row>
    <row r="621" spans="1:3" ht="13" x14ac:dyDescent="0.15">
      <c r="A621" s="4" t="str">
        <f t="shared" si="2"/>
        <v>Opw 620 Voor eeuwig/Prijs God de Heer die ons leven is</v>
      </c>
      <c r="B621" s="4">
        <v>620</v>
      </c>
      <c r="C621" s="4" t="s">
        <v>1101</v>
      </c>
    </row>
    <row r="622" spans="1:3" ht="13" x14ac:dyDescent="0.15">
      <c r="A622" s="4" t="str">
        <f t="shared" si="2"/>
        <v>Opw 621 U bent mijn anker</v>
      </c>
      <c r="B622" s="4">
        <v>621</v>
      </c>
      <c r="C622" s="4" t="s">
        <v>1103</v>
      </c>
    </row>
    <row r="623" spans="1:3" ht="13" x14ac:dyDescent="0.15">
      <c r="A623" s="4" t="str">
        <f t="shared" si="2"/>
        <v>Opw 622 Groot is de Heer God Almachtig</v>
      </c>
      <c r="B623" s="4">
        <v>622</v>
      </c>
      <c r="C623" s="4" t="s">
        <v>1105</v>
      </c>
    </row>
    <row r="624" spans="1:3" ht="13" x14ac:dyDescent="0.15">
      <c r="A624" s="4" t="str">
        <f t="shared" si="2"/>
        <v>Opw 623 Laat het huis gevuld zijn</v>
      </c>
      <c r="B624" s="4">
        <v>623</v>
      </c>
      <c r="C624" s="4" t="s">
        <v>1107</v>
      </c>
    </row>
    <row r="625" spans="1:3" ht="13" x14ac:dyDescent="0.15">
      <c r="A625" s="4" t="str">
        <f t="shared" si="2"/>
        <v>Opw 624 Wees genadig (Merkel)//De woorden die U sprak, Heer</v>
      </c>
      <c r="B625" s="4">
        <v>624</v>
      </c>
      <c r="C625" s="4" t="s">
        <v>1109</v>
      </c>
    </row>
    <row r="626" spans="1:3" ht="13" x14ac:dyDescent="0.15">
      <c r="A626" s="4" t="str">
        <f t="shared" si="2"/>
        <v>Opw 625 Wat een liefde/Bij U ben ik thuis</v>
      </c>
      <c r="B626" s="4">
        <v>625</v>
      </c>
      <c r="C626" s="4" t="s">
        <v>1111</v>
      </c>
    </row>
    <row r="627" spans="1:3" ht="13" x14ac:dyDescent="0.15">
      <c r="A627" s="4" t="str">
        <f t="shared" si="2"/>
        <v>Opw 626 Prachtige God/Eindeloos, zo eindeloos</v>
      </c>
      <c r="B627" s="4">
        <v>626</v>
      </c>
      <c r="C627" s="4" t="s">
        <v>1113</v>
      </c>
    </row>
    <row r="628" spans="1:3" ht="13" x14ac:dyDescent="0.15">
      <c r="A628" s="4" t="str">
        <f t="shared" si="2"/>
        <v>Opw 627 Jezus, licht in de duisternis</v>
      </c>
      <c r="B628" s="4">
        <v>627</v>
      </c>
      <c r="C628" s="4" t="s">
        <v>1115</v>
      </c>
    </row>
    <row r="629" spans="1:3" ht="13" x14ac:dyDescent="0.15">
      <c r="A629" s="4" t="str">
        <f t="shared" si="2"/>
        <v>Opw 628 Een hoop die zeker is</v>
      </c>
      <c r="B629" s="4">
        <v>628</v>
      </c>
      <c r="C629" s="4" t="s">
        <v>1116</v>
      </c>
    </row>
    <row r="630" spans="1:3" ht="13" x14ac:dyDescent="0.15">
      <c r="A630" s="4" t="str">
        <f t="shared" si="2"/>
        <v>Opw 629 Als er vergeving is/Hoe kan ik verder leven</v>
      </c>
      <c r="B630" s="4">
        <v>629</v>
      </c>
      <c r="C630" s="4" t="s">
        <v>1118</v>
      </c>
    </row>
    <row r="631" spans="1:3" ht="13" x14ac:dyDescent="0.15">
      <c r="A631" s="4" t="str">
        <f t="shared" si="2"/>
        <v>Opw 630 Vader, U bent goed/Op elk moment van mijn leven</v>
      </c>
      <c r="B631" s="4">
        <v>630</v>
      </c>
      <c r="C631" s="4" t="s">
        <v>1119</v>
      </c>
    </row>
    <row r="632" spans="1:3" ht="13" x14ac:dyDescent="0.15">
      <c r="A632" s="4" t="str">
        <f t="shared" si="2"/>
        <v>Opw 631 U zei: 'Vraag en je zult ontvangen'</v>
      </c>
      <c r="B632" s="4">
        <v>631</v>
      </c>
      <c r="C632" s="4" t="s">
        <v>1121</v>
      </c>
    </row>
    <row r="633" spans="1:3" ht="13" x14ac:dyDescent="0.15">
      <c r="A633" s="4" t="str">
        <f t="shared" si="2"/>
        <v>Opw 632 Wij zijn het leger van God</v>
      </c>
      <c r="B633" s="4">
        <v>632</v>
      </c>
      <c r="C633" s="4" t="s">
        <v>1122</v>
      </c>
    </row>
    <row r="634" spans="1:3" ht="13" x14ac:dyDescent="0.15">
      <c r="A634" s="4" t="str">
        <f t="shared" si="2"/>
        <v>Opw 633 Agnus Dei (Halleluja)/Halleluja, halleluja, want de Heer God Almachtig regeert</v>
      </c>
      <c r="B634" s="4">
        <v>633</v>
      </c>
      <c r="C634" s="4" t="s">
        <v>1124</v>
      </c>
    </row>
    <row r="635" spans="1:3" ht="13" x14ac:dyDescent="0.15">
      <c r="A635" s="4" t="str">
        <f t="shared" si="2"/>
        <v>Opw 634 U bent heilig en rechtvaardig</v>
      </c>
      <c r="B635" s="4">
        <v>634</v>
      </c>
      <c r="C635" s="4" t="s">
        <v>1126</v>
      </c>
    </row>
    <row r="636" spans="1:3" ht="13" x14ac:dyDescent="0.15">
      <c r="A636" s="4" t="str">
        <f t="shared" si="2"/>
        <v>Opw 635 Wij zijn bij elkaar om U te eren</v>
      </c>
      <c r="B636" s="4">
        <v>635</v>
      </c>
      <c r="C636" s="4" t="s">
        <v>1128</v>
      </c>
    </row>
    <row r="637" spans="1:3" ht="13" x14ac:dyDescent="0.15">
      <c r="A637" s="4" t="str">
        <f t="shared" si="2"/>
        <v>Opw 636 Alleen een God als U//Eer en glorie van de mens</v>
      </c>
      <c r="B637" s="4">
        <v>636</v>
      </c>
      <c r="C637" s="4" t="s">
        <v>1129</v>
      </c>
    </row>
    <row r="638" spans="1:3" ht="13" x14ac:dyDescent="0.15">
      <c r="A638" s="4" t="str">
        <f t="shared" si="2"/>
        <v>Opw 637 Erken nu de Heer</v>
      </c>
      <c r="B638" s="4">
        <v>637</v>
      </c>
      <c r="C638" s="4" t="s">
        <v>1131</v>
      </c>
    </row>
    <row r="639" spans="1:3" ht="13" x14ac:dyDescent="0.15">
      <c r="A639" s="4" t="str">
        <f t="shared" si="2"/>
        <v>Opw 638 Prijs Adonai/Wie is als Hij</v>
      </c>
      <c r="B639" s="4">
        <v>638</v>
      </c>
      <c r="C639" s="4" t="s">
        <v>1133</v>
      </c>
    </row>
    <row r="640" spans="1:3" ht="13" x14ac:dyDescent="0.15">
      <c r="A640" s="4" t="str">
        <f t="shared" si="2"/>
        <v>Opw 639 Ik heb U lief</v>
      </c>
      <c r="B640" s="4">
        <v>639</v>
      </c>
      <c r="C640" s="4" t="s">
        <v>1135</v>
      </c>
    </row>
    <row r="641" spans="1:3" ht="13" x14ac:dyDescent="0.15">
      <c r="A641" s="4" t="str">
        <f t="shared" si="2"/>
        <v>Opw 640 Mijn hulp is van U, Heer/Ik hef mijn ogen op naar de bergen</v>
      </c>
      <c r="B641" s="4">
        <v>640</v>
      </c>
      <c r="C641" s="4" t="s">
        <v>1136</v>
      </c>
    </row>
    <row r="642" spans="1:3" ht="13" x14ac:dyDescent="0.15">
      <c r="A642" s="4" t="str">
        <f t="shared" si="2"/>
        <v>Opw 641 U heeft mij voor Uzelf gemaakt</v>
      </c>
      <c r="B642" s="4">
        <v>641</v>
      </c>
      <c r="C642" s="4" t="s">
        <v>1138</v>
      </c>
    </row>
    <row r="643" spans="1:3" ht="13" x14ac:dyDescent="0.15">
      <c r="A643" s="4" t="str">
        <f t="shared" si="2"/>
        <v>Opw 642 De Rivier/Al mijn zonden, al mijn zorgen</v>
      </c>
      <c r="B643" s="4">
        <v>642</v>
      </c>
      <c r="C643" s="4" t="s">
        <v>1140</v>
      </c>
    </row>
    <row r="644" spans="1:3" ht="13" x14ac:dyDescent="0.15">
      <c r="A644" s="4" t="str">
        <f t="shared" si="2"/>
        <v>Opw 643 Al voor mijn leven is ontstaan</v>
      </c>
      <c r="B644" s="4">
        <v>643</v>
      </c>
      <c r="C644" s="4" t="s">
        <v>1142</v>
      </c>
    </row>
    <row r="645" spans="1:3" ht="13" x14ac:dyDescent="0.15">
      <c r="A645" s="4" t="str">
        <f t="shared" si="2"/>
        <v>Opw 644 Ik schaam mij niet</v>
      </c>
      <c r="B645" s="4">
        <v>644</v>
      </c>
      <c r="C645" s="4" t="s">
        <v>1144</v>
      </c>
    </row>
    <row r="646" spans="1:3" ht="13" x14ac:dyDescent="0.15">
      <c r="A646" s="4" t="str">
        <f t="shared" si="2"/>
        <v>Opw 645 Ik kies vandaag: ik leef voor U</v>
      </c>
      <c r="B646" s="4">
        <v>645</v>
      </c>
      <c r="C646" s="4" t="s">
        <v>1145</v>
      </c>
    </row>
    <row r="647" spans="1:3" ht="13" x14ac:dyDescent="0.15">
      <c r="A647" s="4" t="str">
        <f t="shared" si="2"/>
        <v>Opw 646 Heer, zie uw huis (Psalm 74)</v>
      </c>
      <c r="B647" s="4">
        <v>646</v>
      </c>
      <c r="C647" s="4" t="s">
        <v>1147</v>
      </c>
    </row>
    <row r="648" spans="1:3" ht="13" x14ac:dyDescent="0.15">
      <c r="A648" s="4" t="str">
        <f t="shared" si="2"/>
        <v>Opw 647 Toen U bad werd brood vermeerderd /Liefde, tastbaar</v>
      </c>
      <c r="B648" s="4">
        <v>647</v>
      </c>
      <c r="C648" s="4" t="s">
        <v>1148</v>
      </c>
    </row>
    <row r="649" spans="1:3" ht="13" x14ac:dyDescent="0.15">
      <c r="A649" s="4" t="str">
        <f t="shared" si="2"/>
        <v>Opw 648 Levende offers/U roept ons, Vader</v>
      </c>
      <c r="B649" s="4">
        <v>648</v>
      </c>
      <c r="C649" s="4" t="s">
        <v>1150</v>
      </c>
    </row>
    <row r="650" spans="1:3" ht="13" x14ac:dyDescent="0.15">
      <c r="A650" s="4" t="str">
        <f t="shared" si="2"/>
        <v>Opw 649 Bouw uw Kerk/Jezus, onze Schepper God</v>
      </c>
      <c r="B650" s="4">
        <v>649</v>
      </c>
      <c r="C650" s="4" t="s">
        <v>1151</v>
      </c>
    </row>
    <row r="651" spans="1:3" ht="13" x14ac:dyDescent="0.15">
      <c r="A651" s="4" t="str">
        <f t="shared" si="2"/>
        <v>Opw 650 Daarom komt er nooit een eind/Voor uw schoonheid, ons getoond</v>
      </c>
      <c r="B651" s="4">
        <v>650</v>
      </c>
      <c r="C651" s="4" t="s">
        <v>1153</v>
      </c>
    </row>
    <row r="652" spans="1:3" ht="13" x14ac:dyDescent="0.15">
      <c r="A652" s="4" t="str">
        <f t="shared" si="2"/>
        <v>Opw 651 Er is een rots/U bent het licht in deze tijd</v>
      </c>
      <c r="B652" s="4">
        <v>651</v>
      </c>
      <c r="C652" s="4" t="s">
        <v>1154</v>
      </c>
    </row>
    <row r="653" spans="1:3" ht="13" x14ac:dyDescent="0.15">
      <c r="A653" s="4" t="str">
        <f t="shared" si="2"/>
        <v>Opw 652 Zing voor de Koning</v>
      </c>
      <c r="B653" s="4">
        <v>652</v>
      </c>
      <c r="C653" s="4" t="s">
        <v>1155</v>
      </c>
    </row>
    <row r="654" spans="1:3" ht="13" x14ac:dyDescent="0.15">
      <c r="A654" s="4" t="str">
        <f t="shared" si="2"/>
        <v>Opw 653 Kom, o bron van zegeningen</v>
      </c>
      <c r="B654" s="4">
        <v>653</v>
      </c>
      <c r="C654" s="4" t="s">
        <v>1157</v>
      </c>
    </row>
    <row r="655" spans="1:3" ht="13" x14ac:dyDescent="0.15">
      <c r="A655" s="4" t="str">
        <f t="shared" si="2"/>
        <v>Opw 654 De vreugde van U is mijn kracht/Dank U voor deze nieuwe dag</v>
      </c>
      <c r="B655" s="4">
        <v>654</v>
      </c>
      <c r="C655" s="4" t="s">
        <v>1158</v>
      </c>
    </row>
    <row r="656" spans="1:3" ht="13" x14ac:dyDescent="0.15">
      <c r="A656" s="4" t="str">
        <f t="shared" si="2"/>
        <v>Opw 655 Ik prijs U met mijn dans/Ik wil zingen voor de Heer</v>
      </c>
      <c r="B656" s="4">
        <v>655</v>
      </c>
      <c r="C656" s="4" t="s">
        <v>1159</v>
      </c>
    </row>
    <row r="657" spans="1:3" ht="13" x14ac:dyDescent="0.15">
      <c r="A657" s="4" t="str">
        <f t="shared" si="2"/>
        <v>Opw 656 Ontwaak, verhef je stem</v>
      </c>
      <c r="B657" s="4">
        <v>656</v>
      </c>
      <c r="C657" s="4" t="s">
        <v>1160</v>
      </c>
    </row>
    <row r="658" spans="1:3" ht="13" x14ac:dyDescent="0.15">
      <c r="A658" s="4" t="str">
        <f t="shared" si="2"/>
        <v>Opw 657 Zie het kruis/Zie, de dag breekt aan</v>
      </c>
      <c r="B658" s="4">
        <v>657</v>
      </c>
      <c r="C658" s="4" t="s">
        <v>1162</v>
      </c>
    </row>
    <row r="659" spans="1:3" ht="13" x14ac:dyDescent="0.15">
      <c r="A659" s="4" t="str">
        <f t="shared" si="2"/>
        <v>Opw 658 Jezus, uw naam</v>
      </c>
      <c r="B659" s="4">
        <v>658</v>
      </c>
      <c r="C659" s="4" t="s">
        <v>1163</v>
      </c>
    </row>
    <row r="660" spans="1:3" ht="13" x14ac:dyDescent="0.15">
      <c r="A660" s="4" t="str">
        <f t="shared" si="2"/>
        <v>Opw 659 Jezus, stralend licht</v>
      </c>
      <c r="B660" s="4">
        <v>659</v>
      </c>
      <c r="C660" s="4" t="s">
        <v>1164</v>
      </c>
    </row>
    <row r="661" spans="1:3" ht="13" x14ac:dyDescent="0.15">
      <c r="A661" s="4" t="str">
        <f t="shared" si="2"/>
        <v>Opw 660 U bent welkom in dit huis/Bron van leven, stroom van zegen</v>
      </c>
      <c r="B661" s="4">
        <v>660</v>
      </c>
      <c r="C661" s="4" t="s">
        <v>1165</v>
      </c>
    </row>
    <row r="662" spans="1:3" ht="13" x14ac:dyDescent="0.15">
      <c r="A662" s="4" t="str">
        <f t="shared" si="2"/>
        <v>Opw 661 De Koning in zijn pracht/Maak groot onze God</v>
      </c>
      <c r="B662" s="4">
        <v>661</v>
      </c>
      <c r="C662" s="4" t="s">
        <v>1166</v>
      </c>
    </row>
    <row r="663" spans="1:3" ht="13" x14ac:dyDescent="0.15">
      <c r="A663" s="4" t="str">
        <f t="shared" si="2"/>
        <v>Opw 662 God regeert/U bent heilig, heilig Heer</v>
      </c>
      <c r="B663" s="4">
        <v>662</v>
      </c>
      <c r="C663" s="4" t="s">
        <v>1168</v>
      </c>
    </row>
    <row r="664" spans="1:3" ht="13" x14ac:dyDescent="0.15">
      <c r="A664" s="4" t="str">
        <f t="shared" si="2"/>
        <v>Opw 663 Het gaat steeds om U/Jezus, redder van mijn ziel</v>
      </c>
      <c r="B664" s="4">
        <v>663</v>
      </c>
      <c r="C664" s="4" t="s">
        <v>1169</v>
      </c>
    </row>
    <row r="665" spans="1:3" ht="13" x14ac:dyDescent="0.15">
      <c r="A665" s="4" t="str">
        <f t="shared" si="2"/>
        <v>Opw 664 Wij buigen neer/Rijken en armen</v>
      </c>
      <c r="B665" s="4">
        <v>664</v>
      </c>
      <c r="C665" s="4" t="s">
        <v>1171</v>
      </c>
    </row>
    <row r="666" spans="1:3" ht="13" x14ac:dyDescent="0.15">
      <c r="A666" s="4" t="str">
        <f t="shared" si="2"/>
        <v>Opw 665 Tot aan die dag/Ooit komt er een dag</v>
      </c>
      <c r="B666" s="4">
        <v>665</v>
      </c>
      <c r="C666" s="4" t="s">
        <v>1172</v>
      </c>
    </row>
    <row r="667" spans="1:3" ht="13" x14ac:dyDescent="0.15">
      <c r="A667" s="4" t="str">
        <f t="shared" si="2"/>
        <v>Opw 667 Spreek tot de volken/Hoor het geluid</v>
      </c>
      <c r="B667" s="4">
        <v>667</v>
      </c>
      <c r="C667" s="4" t="s">
        <v>1173</v>
      </c>
    </row>
    <row r="668" spans="1:3" ht="13" x14ac:dyDescent="0.15">
      <c r="A668" s="4" t="str">
        <f t="shared" si="2"/>
        <v>Opw 668 Heer, U bent goed</v>
      </c>
      <c r="B668" s="4">
        <v>668</v>
      </c>
      <c r="C668" s="4" t="s">
        <v>1174</v>
      </c>
    </row>
    <row r="669" spans="1:3" ht="13" x14ac:dyDescent="0.15">
      <c r="A669" s="4" t="str">
        <f t="shared" si="2"/>
        <v>Opw 669 Adonai/Heer van de eeuwigheid</v>
      </c>
      <c r="B669" s="4">
        <v>669</v>
      </c>
      <c r="C669" s="4" t="s">
        <v>1175</v>
      </c>
    </row>
    <row r="670" spans="1:3" ht="13" x14ac:dyDescent="0.15">
      <c r="A670" s="4" t="str">
        <f t="shared" si="2"/>
        <v>Opw 670 Op Hem rust mijn geloof</v>
      </c>
      <c r="B670" s="4">
        <v>670</v>
      </c>
      <c r="C670" s="4" t="s">
        <v>1176</v>
      </c>
    </row>
    <row r="671" spans="1:3" ht="13" x14ac:dyDescent="0.15">
      <c r="A671" s="4" t="str">
        <f t="shared" si="2"/>
        <v>Opw 671 Lof, aanbidding/U schiep zon en maan en sterrenpracht</v>
      </c>
      <c r="B671" s="4">
        <v>671</v>
      </c>
      <c r="C671" s="4" t="s">
        <v>1177</v>
      </c>
    </row>
    <row r="672" spans="1:3" ht="13" x14ac:dyDescent="0.15">
      <c r="A672" s="4" t="str">
        <f t="shared" si="2"/>
        <v>Opw 672 Heerser over alle dingen</v>
      </c>
      <c r="B672" s="4">
        <v>672</v>
      </c>
      <c r="C672" s="4" t="s">
        <v>1178</v>
      </c>
    </row>
    <row r="673" spans="1:3" ht="13" x14ac:dyDescent="0.15">
      <c r="A673" s="4" t="str">
        <f t="shared" si="2"/>
        <v>Opw 673 Heer van de hemelse machten</v>
      </c>
      <c r="B673" s="4">
        <v>673</v>
      </c>
      <c r="C673" s="4" t="s">
        <v>1179</v>
      </c>
    </row>
    <row r="674" spans="1:3" ht="13" x14ac:dyDescent="0.15">
      <c r="A674" s="4" t="str">
        <f t="shared" si="2"/>
        <v>Opw 674 Zie de stroom van Jezus' liefde</v>
      </c>
      <c r="B674" s="4">
        <v>674</v>
      </c>
      <c r="C674" s="4" t="s">
        <v>1180</v>
      </c>
    </row>
    <row r="675" spans="1:3" ht="13" x14ac:dyDescent="0.15">
      <c r="A675" s="4" t="str">
        <f t="shared" si="2"/>
        <v>Opw 675 Al wat leeft/Vader, ik kom in uw heiligdom binnen</v>
      </c>
      <c r="B675" s="4">
        <v>675</v>
      </c>
      <c r="C675" s="4" t="s">
        <v>1181</v>
      </c>
    </row>
    <row r="676" spans="1:3" ht="13" x14ac:dyDescent="0.15">
      <c r="A676" s="4" t="str">
        <f t="shared" si="2"/>
        <v>Opw 676 Welkom in ons midden, Jezus</v>
      </c>
      <c r="B676" s="4">
        <v>676</v>
      </c>
      <c r="C676" s="4" t="s">
        <v>1182</v>
      </c>
    </row>
    <row r="677" spans="1:3" ht="13" x14ac:dyDescent="0.15">
      <c r="A677" s="4" t="str">
        <f t="shared" si="2"/>
        <v>Opw 677 In het diepst van de nacht</v>
      </c>
      <c r="B677" s="4">
        <v>677</v>
      </c>
      <c r="C677" s="4" t="s">
        <v>1183</v>
      </c>
    </row>
    <row r="678" spans="1:3" ht="13" x14ac:dyDescent="0.15">
      <c r="A678" s="4" t="str">
        <f t="shared" si="2"/>
        <v>Opw 678 God van het licht</v>
      </c>
      <c r="B678" s="4">
        <v>678</v>
      </c>
      <c r="C678" s="4" t="s">
        <v>1184</v>
      </c>
    </row>
    <row r="679" spans="1:3" ht="13" x14ac:dyDescent="0.15">
      <c r="A679" s="4" t="str">
        <f t="shared" si="2"/>
        <v>Opw 679 Hij is hier, Hij is bij ons</v>
      </c>
      <c r="B679" s="4">
        <v>679</v>
      </c>
      <c r="C679" s="4" t="s">
        <v>1185</v>
      </c>
    </row>
    <row r="680" spans="1:3" ht="13" x14ac:dyDescent="0.15">
      <c r="A680" s="4" t="str">
        <f t="shared" si="2"/>
        <v>Opw 680 Mijn Redder/Iedereen zoekt naar liefde</v>
      </c>
      <c r="B680" s="4">
        <v>680</v>
      </c>
      <c r="C680" s="4" t="s">
        <v>1186</v>
      </c>
    </row>
    <row r="681" spans="1:3" ht="13" x14ac:dyDescent="0.15">
      <c r="A681" s="4" t="str">
        <f t="shared" si="2"/>
        <v>Opw 681 Hosanna, Hosanna/Ik zie de grote Koning</v>
      </c>
      <c r="B681" s="4">
        <v>681</v>
      </c>
      <c r="C681" s="4" t="s">
        <v>1187</v>
      </c>
    </row>
    <row r="682" spans="1:3" ht="13" x14ac:dyDescent="0.15">
      <c r="A682" s="4" t="str">
        <f t="shared" si="2"/>
        <v>Opw 682 U, de Leeuw van Juda</v>
      </c>
      <c r="B682" s="4">
        <v>682</v>
      </c>
      <c r="C682" s="4" t="s">
        <v>1188</v>
      </c>
    </row>
    <row r="683" spans="1:3" ht="13" x14ac:dyDescent="0.15">
      <c r="A683" s="4" t="str">
        <f t="shared" si="2"/>
        <v>Opw 683 Stap voor stap / Voor eeuwig zingen wij/Heer, U bent mijn God</v>
      </c>
      <c r="B683" s="4">
        <v>683</v>
      </c>
      <c r="C683" s="4" t="s">
        <v>1189</v>
      </c>
    </row>
    <row r="684" spans="1:3" ht="13" x14ac:dyDescent="0.15">
      <c r="A684" s="4" t="str">
        <f t="shared" si="2"/>
        <v>Opw 684 Adembenemend/Uw majesteit is onaantastbaar</v>
      </c>
      <c r="B684" s="4">
        <v>684</v>
      </c>
      <c r="C684" s="4" t="s">
        <v>1190</v>
      </c>
    </row>
    <row r="685" spans="1:3" ht="13" x14ac:dyDescent="0.15">
      <c r="A685" s="4" t="str">
        <f t="shared" si="2"/>
        <v>Opw 685 Hosanna/Met ons lied, Heer</v>
      </c>
      <c r="B685" s="4">
        <v>685</v>
      </c>
      <c r="C685" s="4" t="s">
        <v>1191</v>
      </c>
    </row>
    <row r="686" spans="1:3" ht="13" x14ac:dyDescent="0.15">
      <c r="A686" s="4" t="str">
        <f t="shared" si="2"/>
        <v>Opw 686 God is hier/Uw nabijheid vernieuwt en geneest</v>
      </c>
      <c r="B686" s="4">
        <v>686</v>
      </c>
      <c r="C686" s="4" t="s">
        <v>1192</v>
      </c>
    </row>
    <row r="687" spans="1:3" ht="13" x14ac:dyDescent="0.15">
      <c r="A687" s="4" t="str">
        <f t="shared" si="2"/>
        <v>Opw 687 Heer, wijs mij uw weg</v>
      </c>
      <c r="B687" s="4">
        <v>687</v>
      </c>
      <c r="C687" s="4" t="s">
        <v>1193</v>
      </c>
    </row>
    <row r="688" spans="1:3" ht="13" x14ac:dyDescent="0.15">
      <c r="A688" s="4" t="str">
        <f t="shared" si="2"/>
        <v>Opw 688 Genade zo groot</v>
      </c>
      <c r="B688" s="4">
        <v>688</v>
      </c>
      <c r="C688" s="4" t="s">
        <v>1194</v>
      </c>
    </row>
    <row r="689" spans="1:3" ht="13" x14ac:dyDescent="0.15">
      <c r="A689" s="4" t="str">
        <f t="shared" si="2"/>
        <v>Opw 689 Spreek, o Heer</v>
      </c>
      <c r="B689" s="4">
        <v>689</v>
      </c>
      <c r="C689" s="4" t="s">
        <v>1195</v>
      </c>
    </row>
    <row r="690" spans="1:3" ht="13" x14ac:dyDescent="0.15">
      <c r="A690" s="4" t="str">
        <f t="shared" si="2"/>
        <v>Opw 690 Hij leeft voor eeuwig, amen/Zing het overal</v>
      </c>
      <c r="B690" s="4">
        <v>690</v>
      </c>
      <c r="C690" s="4" t="s">
        <v>1196</v>
      </c>
    </row>
    <row r="691" spans="1:3" ht="13" x14ac:dyDescent="0.15">
      <c r="A691" s="4" t="str">
        <f t="shared" si="2"/>
        <v>Opw 691 Heb de Heer, je God, lief</v>
      </c>
      <c r="B691" s="4">
        <v>691</v>
      </c>
      <c r="C691" s="4" t="s">
        <v>1197</v>
      </c>
    </row>
    <row r="692" spans="1:3" ht="13" x14ac:dyDescent="0.15">
      <c r="A692" s="4" t="str">
        <f t="shared" si="2"/>
        <v>Opw 692 U bent mijn schild//Mijn Heer zal ik altijd prijzen</v>
      </c>
      <c r="B692" s="4">
        <v>692</v>
      </c>
      <c r="C692" s="4" t="s">
        <v>1198</v>
      </c>
    </row>
    <row r="693" spans="1:3" ht="13" x14ac:dyDescent="0.15">
      <c r="A693" s="4" t="str">
        <f t="shared" si="2"/>
        <v>Opw 693 Vaste grond/God, voor U is niets onmogelijk</v>
      </c>
      <c r="B693" s="4">
        <v>693</v>
      </c>
      <c r="C693" s="4" t="s">
        <v>1199</v>
      </c>
    </row>
    <row r="694" spans="1:3" ht="13" x14ac:dyDescent="0.15">
      <c r="A694" s="4" t="str">
        <f t="shared" si="2"/>
        <v>Opw 694 Ik bouw op Jezus, anders niet</v>
      </c>
      <c r="B694" s="4">
        <v>694</v>
      </c>
      <c r="C694" s="4" t="s">
        <v>1200</v>
      </c>
    </row>
    <row r="695" spans="1:3" ht="13" x14ac:dyDescent="0.15">
      <c r="A695" s="4" t="str">
        <f t="shared" si="2"/>
        <v>Opw 695 Stil/Verberg mij nu</v>
      </c>
      <c r="B695" s="4">
        <v>695</v>
      </c>
      <c r="C695" s="4" t="s">
        <v>1201</v>
      </c>
    </row>
    <row r="696" spans="1:3" ht="13" x14ac:dyDescent="0.15">
      <c r="A696" s="4" t="str">
        <f t="shared" si="2"/>
        <v>Opw 696 Onvoorstelbaar, ontzagwekkend</v>
      </c>
      <c r="B696" s="4">
        <v>696</v>
      </c>
      <c r="C696" s="4" t="s">
        <v>1202</v>
      </c>
    </row>
    <row r="697" spans="1:3" ht="13" x14ac:dyDescent="0.15">
      <c r="A697" s="4" t="str">
        <f t="shared" si="2"/>
        <v>Opw 697 Al wat ik ben / Jezus, ik geloof in U</v>
      </c>
      <c r="B697" s="4">
        <v>697</v>
      </c>
      <c r="C697" s="4" t="s">
        <v>1203</v>
      </c>
    </row>
    <row r="698" spans="1:3" ht="13" x14ac:dyDescent="0.15">
      <c r="A698" s="4" t="str">
        <f t="shared" si="2"/>
        <v>Opw 698 Nooit meer alleen/Ook al gaat mijn weg</v>
      </c>
      <c r="B698" s="4">
        <v>698</v>
      </c>
      <c r="C698" s="4" t="s">
        <v>1204</v>
      </c>
    </row>
    <row r="699" spans="1:3" ht="13" x14ac:dyDescent="0.15">
      <c r="A699" s="4" t="str">
        <f t="shared" si="2"/>
        <v>Opw 699 Ik weet: Hij leeft/Wij hebben hoop die zeker is</v>
      </c>
      <c r="B699" s="4">
        <v>699</v>
      </c>
      <c r="C699" s="4" t="s">
        <v>1205</v>
      </c>
    </row>
    <row r="700" spans="1:3" ht="13" x14ac:dyDescent="0.15">
      <c r="A700" s="4" t="str">
        <f t="shared" si="2"/>
        <v>Opw 700 Een nieuwe dag/Kom zing een nieuw lied</v>
      </c>
      <c r="B700" s="4">
        <v>700</v>
      </c>
      <c r="C700" s="4" t="s">
        <v>1206</v>
      </c>
    </row>
    <row r="701" spans="1:3" ht="13" x14ac:dyDescent="0.15">
      <c r="A701" s="4" t="str">
        <f t="shared" si="2"/>
        <v>Opw 701 Hoor de roep van de Koning</v>
      </c>
      <c r="B701" s="4">
        <v>701</v>
      </c>
      <c r="C701" s="4" t="s">
        <v>1207</v>
      </c>
    </row>
    <row r="702" spans="1:3" ht="13" x14ac:dyDescent="0.15">
      <c r="A702" s="4" t="str">
        <f t="shared" si="2"/>
        <v>Opw 702 De God die eeuwig leeft/Er is kracht voor wie hopen op de Heer</v>
      </c>
      <c r="B702" s="4">
        <v>702</v>
      </c>
      <c r="C702" s="4" t="s">
        <v>1208</v>
      </c>
    </row>
    <row r="703" spans="1:3" ht="13" x14ac:dyDescent="0.15">
      <c r="A703" s="4" t="str">
        <f t="shared" si="2"/>
        <v>Opw 703 Zoals een hinde smacht</v>
      </c>
      <c r="B703" s="4">
        <v>703</v>
      </c>
      <c r="C703" s="4" t="s">
        <v>1209</v>
      </c>
    </row>
    <row r="704" spans="1:3" ht="13" x14ac:dyDescent="0.15">
      <c r="A704" s="4" t="str">
        <f t="shared" si="2"/>
        <v>Opw 704 O kerk, sta op</v>
      </c>
      <c r="B704" s="4">
        <v>704</v>
      </c>
      <c r="C704" s="4" t="s">
        <v>1210</v>
      </c>
    </row>
    <row r="705" spans="1:3" ht="13" x14ac:dyDescent="0.15">
      <c r="A705" s="4" t="str">
        <f t="shared" si="2"/>
        <v>Opw 705 Toon mijn liefde/Aan de maaltijd wordt het stil</v>
      </c>
      <c r="B705" s="4">
        <v>705</v>
      </c>
      <c r="C705" s="4" t="s">
        <v>1211</v>
      </c>
    </row>
    <row r="706" spans="1:3" ht="13" x14ac:dyDescent="0.15">
      <c r="A706" s="4" t="str">
        <f t="shared" si="2"/>
        <v>Opw 706 Zie hoe Jezus lijdt voor mij</v>
      </c>
      <c r="B706" s="4">
        <v>706</v>
      </c>
      <c r="C706" s="4" t="s">
        <v>319</v>
      </c>
    </row>
    <row r="707" spans="1:3" ht="13" x14ac:dyDescent="0.15">
      <c r="A707" s="4" t="str">
        <f t="shared" si="2"/>
        <v>Opw 707 Met diep ontzag/U bent mooier dan ik kan omschrijven</v>
      </c>
      <c r="B707" s="4">
        <v>707</v>
      </c>
      <c r="C707" s="4" t="s">
        <v>1212</v>
      </c>
    </row>
    <row r="708" spans="1:3" ht="13" x14ac:dyDescent="0.15">
      <c r="A708" s="4" t="str">
        <f t="shared" si="2"/>
        <v>Opw 708 Hoe groot is uw trouw, o Heer/Kom, zing voor de Heer</v>
      </c>
      <c r="B708" s="4">
        <v>708</v>
      </c>
      <c r="C708" s="4" t="s">
        <v>1213</v>
      </c>
    </row>
    <row r="709" spans="1:3" ht="13" x14ac:dyDescent="0.15">
      <c r="A709" s="4" t="str">
        <f t="shared" si="2"/>
        <v>Opw 709 De hemel vertelt van Gods heerlijkheid</v>
      </c>
      <c r="B709" s="4">
        <v>709</v>
      </c>
      <c r="C709" s="4" t="s">
        <v>1214</v>
      </c>
    </row>
    <row r="710" spans="1:3" ht="13" x14ac:dyDescent="0.15">
      <c r="A710" s="4" t="str">
        <f t="shared" si="2"/>
        <v>Opw 710 Gebed om zegen/Zegen mij op de weg die ik moet gaan</v>
      </c>
      <c r="B710" s="4">
        <v>710</v>
      </c>
      <c r="C710" s="4" t="s">
        <v>1215</v>
      </c>
    </row>
    <row r="711" spans="1:3" ht="13" x14ac:dyDescent="0.15">
      <c r="A711" s="4" t="str">
        <f t="shared" si="2"/>
        <v>Opw 711 Zijn trouw kleurt de morgen/Zijn trouw houdt mensen op de been</v>
      </c>
      <c r="B711" s="4">
        <v>711</v>
      </c>
      <c r="C711" s="4" t="s">
        <v>1216</v>
      </c>
    </row>
    <row r="712" spans="1:3" ht="13" x14ac:dyDescent="0.15">
      <c r="A712" s="4" t="str">
        <f t="shared" si="2"/>
        <v>Opw 712 Zing voor de Heer</v>
      </c>
      <c r="B712" s="4">
        <v>712</v>
      </c>
      <c r="C712" s="4" t="s">
        <v>1217</v>
      </c>
    </row>
    <row r="713" spans="1:3" ht="13" x14ac:dyDescent="0.15">
      <c r="A713" s="4" t="str">
        <f t="shared" si="2"/>
        <v>Opw 713 Als U het huis niet bouwt/Alles wat ik ben behoort U toe</v>
      </c>
      <c r="B713" s="4">
        <v>713</v>
      </c>
      <c r="C713" s="4" t="s">
        <v>1218</v>
      </c>
    </row>
    <row r="714" spans="1:3" ht="13" x14ac:dyDescent="0.15">
      <c r="A714" s="4" t="str">
        <f t="shared" si="2"/>
        <v>Opw 714 Uw liefde laat nooit los/Al laat de zon zich niet meer zien</v>
      </c>
      <c r="B714" s="4">
        <v>714</v>
      </c>
      <c r="C714" s="4" t="s">
        <v>1219</v>
      </c>
    </row>
    <row r="715" spans="1:3" ht="13" x14ac:dyDescent="0.15">
      <c r="A715" s="4" t="str">
        <f t="shared" si="2"/>
        <v>Opw 715 Wat hou ik van uw huis</v>
      </c>
      <c r="B715" s="4">
        <v>715</v>
      </c>
      <c r="C715" s="4" t="s">
        <v>1220</v>
      </c>
    </row>
    <row r="716" spans="1:3" ht="13" x14ac:dyDescent="0.15">
      <c r="A716" s="4" t="str">
        <f t="shared" si="2"/>
        <v>Opw 716 Wanneer?/Heer, wij kwamen voor U juichen</v>
      </c>
      <c r="B716" s="4">
        <v>716</v>
      </c>
      <c r="C716" s="4" t="s">
        <v>1221</v>
      </c>
    </row>
    <row r="717" spans="1:3" ht="13" x14ac:dyDescent="0.15">
      <c r="A717" s="4" t="str">
        <f t="shared" si="2"/>
        <v>Opw 717 Stil, mijn ziel, wees stil</v>
      </c>
      <c r="B717" s="4">
        <v>717</v>
      </c>
      <c r="C717" s="4" t="s">
        <v>1222</v>
      </c>
    </row>
    <row r="718" spans="1:3" ht="13" x14ac:dyDescent="0.15">
      <c r="A718" s="4" t="str">
        <f t="shared" si="2"/>
        <v>Opw 718 Heilig, heilig, heilig bent U, Heer</v>
      </c>
      <c r="B718" s="4">
        <v>718</v>
      </c>
      <c r="C718" s="4" t="s">
        <v>1223</v>
      </c>
    </row>
    <row r="719" spans="1:3" ht="13" x14ac:dyDescent="0.15">
      <c r="A719" s="4" t="str">
        <f t="shared" si="2"/>
        <v>Opw 719 Onbeschrijfelijk/Van de machtigste berg tot het diepst van de zee</v>
      </c>
      <c r="B719" s="4">
        <v>719</v>
      </c>
      <c r="C719" s="4" t="s">
        <v>1224</v>
      </c>
    </row>
    <row r="720" spans="1:3" ht="13" x14ac:dyDescent="0.15">
      <c r="A720" s="4" t="str">
        <f t="shared" si="2"/>
        <v>Opw 720 God maakt vrij/In de naam van de Vader</v>
      </c>
      <c r="B720" s="4">
        <v>720</v>
      </c>
      <c r="C720" s="4" t="s">
        <v>1225</v>
      </c>
    </row>
    <row r="721" spans="1:3" ht="13" x14ac:dyDescent="0.15">
      <c r="A721" s="4" t="str">
        <f t="shared" si="2"/>
        <v>Opw 721 Heerser over al wat leeft</v>
      </c>
      <c r="B721" s="4">
        <v>721</v>
      </c>
      <c r="C721" s="4" t="s">
        <v>1226</v>
      </c>
    </row>
    <row r="722" spans="1:3" ht="13" x14ac:dyDescent="0.15">
      <c r="A722" s="4" t="str">
        <f t="shared" si="2"/>
        <v>Opw 722 Dat is genade!/Heer, ik dank U voor wat U heeft gedaan</v>
      </c>
      <c r="B722" s="4">
        <v>722</v>
      </c>
      <c r="C722" s="4" t="s">
        <v>1227</v>
      </c>
    </row>
    <row r="723" spans="1:3" ht="13" x14ac:dyDescent="0.15">
      <c r="A723" s="4" t="str">
        <f t="shared" si="2"/>
        <v>Opw 723 Kom, volk van de verrezen Heer</v>
      </c>
      <c r="B723" s="4">
        <v>723</v>
      </c>
      <c r="C723" s="4" t="s">
        <v>1228</v>
      </c>
    </row>
    <row r="724" spans="1:3" ht="13" x14ac:dyDescent="0.15">
      <c r="A724" s="4" t="str">
        <f t="shared" si="2"/>
        <v>Opw 724 Vandaag is de dag/Wat door mijn gedachten gaat</v>
      </c>
      <c r="B724" s="4">
        <v>724</v>
      </c>
      <c r="C724" s="4" t="s">
        <v>1229</v>
      </c>
    </row>
    <row r="725" spans="1:3" ht="13" x14ac:dyDescent="0.15">
      <c r="A725" s="4" t="str">
        <f t="shared" si="2"/>
        <v>Opw 725 Geweldige God/Staar ik in de nacht</v>
      </c>
      <c r="B725" s="4">
        <v>725</v>
      </c>
      <c r="C725" s="4" t="s">
        <v>1230</v>
      </c>
    </row>
    <row r="726" spans="1:3" ht="13" x14ac:dyDescent="0.15">
      <c r="A726" s="4" t="str">
        <f t="shared" si="2"/>
        <v>Opw 726 Anker in de tijd/Er is een onbegrensde liefde</v>
      </c>
      <c r="B726" s="4">
        <v>726</v>
      </c>
      <c r="C726" s="4" t="s">
        <v>1231</v>
      </c>
    </row>
    <row r="727" spans="1:3" ht="13" x14ac:dyDescent="0.15">
      <c r="A727" s="4" t="str">
        <f t="shared" si="2"/>
        <v>Opw 727 Ik val niet uit zijn hand/Mijn God, ik kom naar U, dan ben ik veilig</v>
      </c>
      <c r="B727" s="4">
        <v>727</v>
      </c>
      <c r="C727" s="4" t="s">
        <v>1232</v>
      </c>
    </row>
    <row r="728" spans="1:3" ht="13" x14ac:dyDescent="0.15">
      <c r="A728" s="4" t="str">
        <f t="shared" si="2"/>
        <v>Opw 728 Herstel, o Heer</v>
      </c>
      <c r="B728" s="4">
        <v>728</v>
      </c>
      <c r="C728" s="4" t="s">
        <v>1233</v>
      </c>
    </row>
    <row r="729" spans="1:3" ht="13" x14ac:dyDescent="0.15">
      <c r="A729" s="4" t="str">
        <f t="shared" si="2"/>
        <v>Opw 729 Hij is erbij/Soms brengt God de storm tot stilte</v>
      </c>
      <c r="B729" s="4">
        <v>729</v>
      </c>
      <c r="C729" s="4" t="s">
        <v>1234</v>
      </c>
    </row>
    <row r="730" spans="1:3" ht="13" x14ac:dyDescent="0.15">
      <c r="A730" s="4" t="str">
        <f t="shared" si="2"/>
        <v>Opw 730 Ik herleef/Deze vrede leeft in mij</v>
      </c>
      <c r="B730" s="4">
        <v>730</v>
      </c>
      <c r="C730" s="4" t="s">
        <v>1235</v>
      </c>
    </row>
    <row r="731" spans="1:3" ht="13" x14ac:dyDescent="0.15">
      <c r="A731" s="4" t="str">
        <f t="shared" si="2"/>
        <v>Opw 731 Halleluja Adonai/Jezus, ik hou van U</v>
      </c>
      <c r="B731" s="4">
        <v>731</v>
      </c>
      <c r="C731" s="4" t="s">
        <v>1236</v>
      </c>
    </row>
    <row r="732" spans="1:3" ht="13" x14ac:dyDescent="0.15">
      <c r="A732" s="4" t="str">
        <f t="shared" si="2"/>
        <v>Opw 732 Wat een wonder dat ik meewerken mag</v>
      </c>
      <c r="B732" s="4">
        <v>732</v>
      </c>
      <c r="C732" s="4" t="s">
        <v>1237</v>
      </c>
    </row>
    <row r="733" spans="1:3" ht="13" x14ac:dyDescent="0.15">
      <c r="A733" s="4" t="str">
        <f t="shared" si="2"/>
        <v>Opw 733 Tienduizend redenen/De zon komt op, maakt de morgen wakker</v>
      </c>
      <c r="B733" s="4">
        <v>733</v>
      </c>
      <c r="C733" s="4" t="s">
        <v>1238</v>
      </c>
    </row>
    <row r="734" spans="1:3" ht="13" x14ac:dyDescent="0.15">
      <c r="A734" s="4" t="str">
        <f t="shared" si="2"/>
        <v>Opw 734 God, ik adem om van U te zingen</v>
      </c>
      <c r="B734" s="4">
        <v>734</v>
      </c>
      <c r="C734" s="4" t="s">
        <v>1239</v>
      </c>
    </row>
    <row r="735" spans="1:3" ht="13" x14ac:dyDescent="0.15">
      <c r="A735" s="4" t="str">
        <f t="shared" si="2"/>
        <v>Opw 735 Wie vertrouwen op de Heer</v>
      </c>
      <c r="B735" s="4">
        <v>735</v>
      </c>
      <c r="C735" s="4" t="s">
        <v>1240</v>
      </c>
    </row>
    <row r="736" spans="1:3" ht="13" x14ac:dyDescent="0.15">
      <c r="A736" s="4" t="str">
        <f t="shared" si="2"/>
        <v>Opw 736 In deze gemeente, Gods huisgezin</v>
      </c>
      <c r="B736" s="4">
        <v>736</v>
      </c>
      <c r="C736" s="4" t="s">
        <v>1241</v>
      </c>
    </row>
    <row r="737" spans="1:3" ht="13" x14ac:dyDescent="0.15">
      <c r="A737" s="4" t="str">
        <f t="shared" si="2"/>
        <v>Opw 737 U nodigt mij aan tafel</v>
      </c>
      <c r="B737" s="4">
        <v>737</v>
      </c>
      <c r="C737" s="4" t="s">
        <v>1242</v>
      </c>
    </row>
    <row r="738" spans="1:3" ht="13" x14ac:dyDescent="0.15">
      <c r="A738" s="4" t="str">
        <f t="shared" si="2"/>
        <v>Opw 738 Als ik huil/ Ik kom bij U</v>
      </c>
      <c r="B738" s="4">
        <v>738</v>
      </c>
      <c r="C738" s="4" t="s">
        <v>1243</v>
      </c>
    </row>
    <row r="739" spans="1:3" ht="13" x14ac:dyDescent="0.15">
      <c r="A739" s="4" t="str">
        <f t="shared" si="2"/>
        <v>Opw 739 Sta op -een gebed om ontferming/ U Heer, U hoort</v>
      </c>
      <c r="B739" s="4">
        <v>739</v>
      </c>
      <c r="C739" s="4" t="s">
        <v>1244</v>
      </c>
    </row>
    <row r="740" spans="1:3" ht="13" x14ac:dyDescent="0.15">
      <c r="A740" s="4" t="str">
        <f t="shared" si="2"/>
        <v>Opw 740 Ik bid dat God jou zegent</v>
      </c>
      <c r="B740" s="4">
        <v>740</v>
      </c>
      <c r="C740" s="4" t="s">
        <v>1245</v>
      </c>
    </row>
    <row r="741" spans="1:3" ht="13" x14ac:dyDescent="0.15">
      <c r="A741" s="4" t="str">
        <f t="shared" si="2"/>
        <v>Opw 741 Als een vuur van binnen</v>
      </c>
      <c r="B741" s="4">
        <v>741</v>
      </c>
      <c r="C741" s="4" t="s">
        <v>47</v>
      </c>
    </row>
    <row r="742" spans="1:3" ht="13" x14ac:dyDescent="0.15">
      <c r="A742" s="4" t="str">
        <f t="shared" si="2"/>
        <v>Opw 742 Dit is het Lam, dat onze zonden draagt</v>
      </c>
      <c r="B742" s="4">
        <v>742</v>
      </c>
      <c r="C742" s="4" t="s">
        <v>1246</v>
      </c>
    </row>
    <row r="743" spans="1:3" ht="13" x14ac:dyDescent="0.15">
      <c r="A743" s="4" t="str">
        <f t="shared" si="2"/>
        <v>Opw 743 Jezus, ik kom naar U</v>
      </c>
      <c r="B743" s="4">
        <v>743</v>
      </c>
      <c r="C743" s="4" t="s">
        <v>1247</v>
      </c>
    </row>
    <row r="744" spans="1:3" ht="13" x14ac:dyDescent="0.15">
      <c r="A744" s="4" t="str">
        <f t="shared" si="2"/>
        <v>Opw 744 Vrede voor Jeruzalem /Jeruzalem, de stad van trouw</v>
      </c>
      <c r="B744" s="4">
        <v>744</v>
      </c>
      <c r="C744" s="4" t="s">
        <v>1248</v>
      </c>
    </row>
    <row r="745" spans="1:3" ht="13" x14ac:dyDescent="0.15">
      <c r="A745" s="4" t="str">
        <f t="shared" si="2"/>
        <v>Opw 745 Hoe lang/ Hoort U boven onze stemmen uit</v>
      </c>
      <c r="B745" s="4">
        <v>745</v>
      </c>
      <c r="C745" s="4" t="s">
        <v>1249</v>
      </c>
    </row>
    <row r="746" spans="1:3" ht="13" x14ac:dyDescent="0.15">
      <c r="A746" s="4" t="str">
        <f t="shared" si="2"/>
        <v>Opw 746 De God van de vrede</v>
      </c>
      <c r="B746" s="4">
        <v>746</v>
      </c>
      <c r="C746" s="4" t="s">
        <v>1250</v>
      </c>
    </row>
    <row r="747" spans="1:3" ht="13" x14ac:dyDescent="0.15">
      <c r="A747" s="4" t="str">
        <f t="shared" si="2"/>
        <v>Opw 747 Wij geloven in een keerpunt in de tijd</v>
      </c>
      <c r="B747" s="4">
        <v>747</v>
      </c>
      <c r="C747" s="4" t="s">
        <v>1251</v>
      </c>
    </row>
    <row r="748" spans="1:3" ht="13" x14ac:dyDescent="0.15">
      <c r="A748" s="4" t="str">
        <f t="shared" si="2"/>
        <v>Opw 748 God zegent ons/Heer, zegen ons met onverdiende liefde</v>
      </c>
      <c r="B748" s="4">
        <v>748</v>
      </c>
      <c r="C748" s="4" t="s">
        <v>1252</v>
      </c>
    </row>
    <row r="749" spans="1:3" ht="13" x14ac:dyDescent="0.15">
      <c r="A749" s="4" t="str">
        <f t="shared" si="2"/>
        <v>Opw 749 Hoe kan ik anders/Hoor, hoe een eeuwig lied</v>
      </c>
      <c r="B749" s="4">
        <v>749</v>
      </c>
      <c r="C749" s="4" t="s">
        <v>1253</v>
      </c>
    </row>
    <row r="750" spans="1:3" ht="13" x14ac:dyDescent="0.15">
      <c r="A750" s="4" t="str">
        <f t="shared" si="2"/>
        <v>Opw 750 Eer en glorie/Elohim, de Schepper God</v>
      </c>
      <c r="B750" s="4">
        <v>750</v>
      </c>
      <c r="C750" s="4" t="s">
        <v>1254</v>
      </c>
    </row>
    <row r="751" spans="1:3" ht="13" x14ac:dyDescent="0.15">
      <c r="A751" s="4" t="str">
        <f t="shared" si="2"/>
        <v>Opw 751 Ik zie het kruis</v>
      </c>
      <c r="B751" s="4">
        <v>751</v>
      </c>
      <c r="C751" s="4" t="s">
        <v>1255</v>
      </c>
    </row>
    <row r="752" spans="1:3" ht="13" x14ac:dyDescent="0.15">
      <c r="A752" s="4" t="str">
        <f t="shared" si="2"/>
        <v>Opw 752 Geef God alle eer</v>
      </c>
      <c r="B752" s="4">
        <v>752</v>
      </c>
      <c r="C752" s="4" t="s">
        <v>1256</v>
      </c>
    </row>
    <row r="753" spans="1:3" ht="13" x14ac:dyDescent="0.15">
      <c r="A753" s="4" t="str">
        <f t="shared" si="2"/>
        <v>Opw 753 Symfonie/Nu ik bij U kom in uw heiligdom</v>
      </c>
      <c r="B753" s="4">
        <v>753</v>
      </c>
      <c r="C753" s="4" t="s">
        <v>1257</v>
      </c>
    </row>
    <row r="754" spans="1:3" ht="13" x14ac:dyDescent="0.15">
      <c r="A754" s="4" t="str">
        <f t="shared" si="2"/>
        <v>Opw 754 Kom o Heilige Geest/Heilige Geest van God, adem in ons midden</v>
      </c>
      <c r="B754" s="4">
        <v>754</v>
      </c>
      <c r="C754" s="4" t="s">
        <v>1258</v>
      </c>
    </row>
    <row r="755" spans="1:3" ht="13" x14ac:dyDescent="0.15">
      <c r="A755" s="4" t="str">
        <f t="shared" si="2"/>
        <v>Opw 755 Laat ons Christus zien/Bewerk ons hart, o God</v>
      </c>
      <c r="B755" s="4">
        <v>755</v>
      </c>
      <c r="C755" s="4" t="s">
        <v>1259</v>
      </c>
    </row>
    <row r="756" spans="1:3" ht="13" x14ac:dyDescent="0.15">
      <c r="A756" s="4" t="str">
        <f t="shared" si="2"/>
        <v>Opw 756 Schuilplaats/Ik wil zijn in de schuilplaats van de Allerhoogste</v>
      </c>
      <c r="B756" s="4">
        <v>756</v>
      </c>
      <c r="C756" s="4" t="s">
        <v>1260</v>
      </c>
    </row>
    <row r="757" spans="1:3" ht="13" x14ac:dyDescent="0.15">
      <c r="A757" s="4" t="str">
        <f t="shared" si="2"/>
        <v>Opw 757 Zo goed/Uw liefde is geweldig!</v>
      </c>
      <c r="B757" s="4">
        <v>757</v>
      </c>
      <c r="C757" s="4" t="s">
        <v>1261</v>
      </c>
    </row>
    <row r="758" spans="1:3" ht="13" x14ac:dyDescent="0.15">
      <c r="A758" s="4" t="str">
        <f t="shared" si="2"/>
        <v>Opw 758 Met heel mijn ziel</v>
      </c>
      <c r="B758" s="4">
        <v>758</v>
      </c>
      <c r="C758" s="4" t="s">
        <v>1262</v>
      </c>
    </row>
    <row r="759" spans="1:3" ht="13" x14ac:dyDescent="0.15">
      <c r="A759" s="4" t="str">
        <f t="shared" si="2"/>
        <v>Opw 759 Uw genade is genoeg/Mijn God, wat is uw trouw toch groot</v>
      </c>
      <c r="B759" s="4">
        <v>759</v>
      </c>
      <c r="C759" s="4" t="s">
        <v>1263</v>
      </c>
    </row>
    <row r="760" spans="1:3" ht="13" x14ac:dyDescent="0.15">
      <c r="A760" s="4" t="str">
        <f t="shared" si="2"/>
        <v>Opw 760 Wie vrees ik nog?/U hoort mij als ik bid</v>
      </c>
      <c r="B760" s="4">
        <v>760</v>
      </c>
      <c r="C760" s="4" t="s">
        <v>1264</v>
      </c>
    </row>
    <row r="761" spans="1:3" ht="13" x14ac:dyDescent="0.15">
      <c r="A761" s="4" t="str">
        <f t="shared" si="2"/>
        <v>Opw 761 De Heer is ons huis/Zijn grootheid torent uit</v>
      </c>
      <c r="B761" s="4">
        <v>761</v>
      </c>
      <c r="C761" s="4" t="s">
        <v>1265</v>
      </c>
    </row>
    <row r="762" spans="1:3" ht="13" x14ac:dyDescent="0.15">
      <c r="A762" s="4" t="str">
        <f t="shared" si="2"/>
        <v>Opw 762 Heilig bent U, God/Zing voor zijn naam</v>
      </c>
      <c r="B762" s="4">
        <v>762</v>
      </c>
      <c r="C762" s="4" t="s">
        <v>1266</v>
      </c>
    </row>
    <row r="763" spans="1:3" ht="13" x14ac:dyDescent="0.15">
      <c r="A763" s="4" t="str">
        <f t="shared" si="2"/>
        <v>Opw 763 Ik heb U nodig/Heer, ik kom en beken</v>
      </c>
      <c r="B763" s="4">
        <v>763</v>
      </c>
      <c r="C763" s="4" t="s">
        <v>1267</v>
      </c>
    </row>
    <row r="764" spans="1:3" ht="13" x14ac:dyDescent="0.15">
      <c r="A764" s="4" t="str">
        <f t="shared" si="2"/>
        <v>Opw 764 Zegekroon/U zult altijd voor ons strijden</v>
      </c>
      <c r="B764" s="4">
        <v>764</v>
      </c>
      <c r="C764" s="4" t="s">
        <v>1268</v>
      </c>
    </row>
    <row r="765" spans="1:3" ht="13" x14ac:dyDescent="0.15">
      <c r="A765" s="4" t="str">
        <f t="shared" si="2"/>
        <v>Opw 765 Uw vrede vult dit huis</v>
      </c>
      <c r="B765" s="4">
        <v>765</v>
      </c>
      <c r="C765" s="4" t="s">
        <v>1269</v>
      </c>
    </row>
    <row r="766" spans="1:3" ht="13" x14ac:dyDescent="0.15">
      <c r="A766" s="4" t="str">
        <f t="shared" si="2"/>
        <v>Opw 766 De wind steekt op/Als de hemel openbreekt</v>
      </c>
      <c r="B766" s="4">
        <v>766</v>
      </c>
      <c r="C766" s="4" t="s">
        <v>1270</v>
      </c>
    </row>
    <row r="767" spans="1:3" ht="13" x14ac:dyDescent="0.15">
      <c r="A767" s="4" t="str">
        <f t="shared" si="2"/>
        <v>Opw 767 Familie/Hoe mooi en hoe heerlijk</v>
      </c>
      <c r="B767" s="4">
        <v>767</v>
      </c>
      <c r="C767" s="4" t="s">
        <v>1271</v>
      </c>
    </row>
    <row r="768" spans="1:3" ht="13" x14ac:dyDescent="0.15">
      <c r="A768" s="4" t="str">
        <f t="shared" ref="A768:A908" si="3">IF(NOT(ISBLANK(B768)), CONCATENATE("Opw ", B768, " ", C768), "")</f>
        <v>Opw 768 Zing een nieuw lied(PvN)/Zing, zing, zing een nieuw lied voor de Heer</v>
      </c>
      <c r="B768" s="4">
        <v>768</v>
      </c>
      <c r="C768" s="4" t="s">
        <v>1272</v>
      </c>
    </row>
    <row r="769" spans="1:3" ht="13" x14ac:dyDescent="0.15">
      <c r="A769" s="4" t="str">
        <f t="shared" si="3"/>
        <v>Opw 769 Bouw uw koninkrijk/Kom, vestig uw gezag</v>
      </c>
      <c r="B769" s="4">
        <v>769</v>
      </c>
      <c r="C769" s="4" t="s">
        <v>1273</v>
      </c>
    </row>
    <row r="770" spans="1:3" ht="13" x14ac:dyDescent="0.15">
      <c r="A770" s="4" t="str">
        <f t="shared" si="3"/>
        <v>Opw 770 Ik zal er zijn/Hoe wonderlijk mooi is uw eeuwige naam</v>
      </c>
      <c r="B770" s="4">
        <v>770</v>
      </c>
      <c r="C770" s="4" t="s">
        <v>1274</v>
      </c>
    </row>
    <row r="771" spans="1:3" ht="13" x14ac:dyDescent="0.15">
      <c r="A771" s="4" t="str">
        <f t="shared" si="3"/>
        <v>Opw 771 Eén doel/Wij zijn gekomen voor een ontmoeting met U</v>
      </c>
      <c r="B771" s="4">
        <v>771</v>
      </c>
      <c r="C771" s="4" t="s">
        <v>1275</v>
      </c>
    </row>
    <row r="772" spans="1:3" ht="13" x14ac:dyDescent="0.15">
      <c r="A772" s="4" t="str">
        <f t="shared" si="3"/>
        <v>Opw 772 Overwinnaar/Ik wil zingen voor de Here</v>
      </c>
      <c r="B772" s="4">
        <v>772</v>
      </c>
      <c r="C772" s="4" t="s">
        <v>1276</v>
      </c>
    </row>
    <row r="773" spans="1:3" ht="13" x14ac:dyDescent="0.15">
      <c r="A773" s="4" t="str">
        <f t="shared" si="3"/>
        <v>Opw 773 De enige die redt/Uit liefde gaf God zijn eigen Zoon</v>
      </c>
      <c r="B773" s="4">
        <v>773</v>
      </c>
      <c r="C773" s="4" t="s">
        <v>1277</v>
      </c>
    </row>
    <row r="774" spans="1:3" ht="13" x14ac:dyDescent="0.15">
      <c r="A774" s="4" t="str">
        <f t="shared" si="3"/>
        <v>Opw 774 Ik verlang naar Jezus</v>
      </c>
      <c r="B774" s="4">
        <v>774</v>
      </c>
      <c r="C774" s="4" t="s">
        <v>1278</v>
      </c>
    </row>
    <row r="775" spans="1:3" ht="13" x14ac:dyDescent="0.15">
      <c r="A775" s="4" t="str">
        <f t="shared" si="3"/>
        <v>Opw 775 Bij het kruis/Er is een plek waar liefde heerst</v>
      </c>
      <c r="B775" s="4">
        <v>775</v>
      </c>
      <c r="C775" s="4" t="s">
        <v>1279</v>
      </c>
    </row>
    <row r="776" spans="1:3" ht="13" x14ac:dyDescent="0.15">
      <c r="A776" s="4" t="str">
        <f t="shared" si="3"/>
        <v>Opw 776 Wij, de verlosten van de Heer</v>
      </c>
      <c r="B776" s="4">
        <v>776</v>
      </c>
      <c r="C776" s="4" t="s">
        <v>1280</v>
      </c>
    </row>
    <row r="777" spans="1:3" ht="13" x14ac:dyDescent="0.15">
      <c r="A777" s="4" t="str">
        <f t="shared" si="3"/>
        <v>Opw 777 Ik geef U alle eer/U bent de Koning op de troon</v>
      </c>
      <c r="B777" s="4">
        <v>777</v>
      </c>
      <c r="C777" s="4" t="s">
        <v>1281</v>
      </c>
    </row>
    <row r="778" spans="1:3" ht="13" x14ac:dyDescent="0.15">
      <c r="A778" s="4" t="str">
        <f t="shared" si="3"/>
        <v>Opw 778 Hoe lang, o Heer?</v>
      </c>
      <c r="B778" s="4">
        <v>778</v>
      </c>
      <c r="C778" s="4" t="s">
        <v>1282</v>
      </c>
    </row>
    <row r="779" spans="1:3" ht="13" x14ac:dyDescent="0.15">
      <c r="A779" s="4" t="str">
        <f t="shared" si="3"/>
        <v>Opw 779 Zoals je bent/Kom hier met je tranen</v>
      </c>
      <c r="B779" s="4">
        <v>779</v>
      </c>
      <c r="C779" s="4" t="s">
        <v>1283</v>
      </c>
    </row>
    <row r="780" spans="1:3" ht="13" x14ac:dyDescent="0.15">
      <c r="A780" s="4" t="str">
        <f t="shared" si="3"/>
        <v>Opw 780 Verwachten/Ik zie uit naar de Heer</v>
      </c>
      <c r="B780" s="4">
        <v>780</v>
      </c>
      <c r="C780" s="4" t="s">
        <v>1284</v>
      </c>
    </row>
    <row r="781" spans="1:3" ht="13" x14ac:dyDescent="0.15">
      <c r="A781" s="4" t="str">
        <f t="shared" si="3"/>
        <v>Opw 781 Jezus redt/Hoor de hartslag van de hemel</v>
      </c>
      <c r="B781" s="4">
        <v>781</v>
      </c>
      <c r="C781" s="4" t="s">
        <v>1285</v>
      </c>
    </row>
    <row r="782" spans="1:3" ht="13" x14ac:dyDescent="0.15">
      <c r="A782" s="4" t="str">
        <f t="shared" si="3"/>
        <v>Opw 782 Geloofd zij de Heer/Ik heb U lief, Heer, mijn sterkte</v>
      </c>
      <c r="B782" s="4">
        <v>782</v>
      </c>
      <c r="C782" s="4" t="s">
        <v>1286</v>
      </c>
    </row>
    <row r="783" spans="1:3" ht="13" x14ac:dyDescent="0.15">
      <c r="A783" s="4" t="str">
        <f t="shared" si="3"/>
        <v>Opw 783 Wij houden ons niet langer stil/Jezus, U bent hier bij ons</v>
      </c>
      <c r="B783" s="4">
        <v>783</v>
      </c>
      <c r="C783" s="4" t="s">
        <v>1287</v>
      </c>
    </row>
    <row r="784" spans="1:3" ht="13" x14ac:dyDescent="0.15">
      <c r="A784" s="4" t="str">
        <f t="shared" si="3"/>
        <v>Opw 784 Laat alles in dit huis/Wij zijn gekomen om U te aanbidden, Jezus</v>
      </c>
      <c r="B784" s="4">
        <v>784</v>
      </c>
      <c r="C784" s="4" t="s">
        <v>1288</v>
      </c>
    </row>
    <row r="785" spans="1:3" ht="13" x14ac:dyDescent="0.15">
      <c r="A785" s="4" t="str">
        <f t="shared" si="3"/>
        <v>Opw 785 Fundament/Ik bouw op Jezus, anders niet (Myrin)</v>
      </c>
      <c r="B785" s="4">
        <v>785</v>
      </c>
      <c r="C785" s="4" t="s">
        <v>1289</v>
      </c>
    </row>
    <row r="786" spans="1:3" ht="13" x14ac:dyDescent="0.15">
      <c r="A786" s="4" t="str">
        <f t="shared" si="3"/>
        <v>Opw 786 Met hart en handen/Schepper God, U die alles adem geeft</v>
      </c>
      <c r="B786" s="4">
        <v>786</v>
      </c>
      <c r="C786" s="4" t="s">
        <v>1290</v>
      </c>
    </row>
    <row r="787" spans="1:3" ht="13" x14ac:dyDescent="0.15">
      <c r="A787" s="4" t="str">
        <f t="shared" si="3"/>
        <v>Opw 787 Man van smarten, Lam van God</v>
      </c>
      <c r="B787" s="4">
        <v>787</v>
      </c>
      <c r="C787" s="4" t="s">
        <v>1291</v>
      </c>
    </row>
    <row r="788" spans="1:3" ht="13" x14ac:dyDescent="0.15">
      <c r="A788" s="4" t="str">
        <f t="shared" si="3"/>
        <v>Opw 788 Wees welkom, Geest van God</v>
      </c>
      <c r="B788" s="4">
        <v>788</v>
      </c>
      <c r="C788" s="4" t="s">
        <v>1292</v>
      </c>
    </row>
    <row r="789" spans="1:3" ht="13" x14ac:dyDescent="0.15">
      <c r="A789" s="4" t="str">
        <f t="shared" si="3"/>
        <v>Opw 789 Lopen op het water/U leert me lopen op het water</v>
      </c>
      <c r="B789" s="4">
        <v>789</v>
      </c>
      <c r="C789" s="4" t="s">
        <v>1293</v>
      </c>
    </row>
    <row r="790" spans="1:3" ht="13" x14ac:dyDescent="0.15">
      <c r="A790" s="4" t="str">
        <f t="shared" si="3"/>
        <v>Opw 790 God is mijn Herder, die mij weidt</v>
      </c>
      <c r="B790" s="4">
        <v>790</v>
      </c>
      <c r="C790" s="4" t="s">
        <v>1294</v>
      </c>
    </row>
    <row r="791" spans="1:3" ht="13" x14ac:dyDescent="0.15">
      <c r="A791" s="4" t="str">
        <f t="shared" si="3"/>
        <v>Opw 791 Almachtige/U bent de koning, U draagt de kroon</v>
      </c>
      <c r="B791" s="4">
        <v>791</v>
      </c>
      <c r="C791" s="4" t="s">
        <v>1295</v>
      </c>
    </row>
    <row r="792" spans="1:3" ht="13" x14ac:dyDescent="0.15">
      <c r="A792" s="4" t="str">
        <f t="shared" si="3"/>
        <v>Opw 792 Eeuwig Halleluja/Als ik voor uw troon verschijn</v>
      </c>
      <c r="B792" s="4">
        <v>792</v>
      </c>
      <c r="C792" s="4" t="s">
        <v>1296</v>
      </c>
    </row>
    <row r="793" spans="1:3" ht="13" x14ac:dyDescent="0.15">
      <c r="A793" s="4" t="str">
        <f t="shared" si="3"/>
        <v>Opw 793 Een fonkelnieuw begin/Er breekt een lang beloofde toekomst aan</v>
      </c>
      <c r="B793" s="4">
        <v>793</v>
      </c>
      <c r="C793" s="4" t="s">
        <v>1297</v>
      </c>
    </row>
    <row r="794" spans="1:3" ht="13" x14ac:dyDescent="0.15">
      <c r="A794" s="4" t="str">
        <f t="shared" si="3"/>
        <v>Opw 794 No longer slaves/You unravel me with a melody</v>
      </c>
      <c r="B794" s="4">
        <v>794</v>
      </c>
      <c r="C794" s="4" t="s">
        <v>1298</v>
      </c>
    </row>
    <row r="795" spans="1:3" ht="13" x14ac:dyDescent="0.15">
      <c r="A795" s="4" t="str">
        <f t="shared" si="3"/>
        <v>Opw 795 Amen(Opw.)/Ik geloof in de Zoon</v>
      </c>
      <c r="B795" s="4">
        <v>795</v>
      </c>
      <c r="C795" s="4" t="s">
        <v>1299</v>
      </c>
    </row>
    <row r="796" spans="1:3" ht="13" x14ac:dyDescent="0.15">
      <c r="A796" s="4" t="str">
        <f t="shared" si="3"/>
        <v>Opw 796 De Leeuw en het Lam/De wereld zal het zien</v>
      </c>
      <c r="B796" s="4">
        <v>796</v>
      </c>
      <c r="C796" s="4" t="s">
        <v>1300</v>
      </c>
    </row>
    <row r="797" spans="1:3" ht="13" x14ac:dyDescent="0.15">
      <c r="A797" s="4" t="str">
        <f t="shared" si="3"/>
        <v>Opw 797 Breng ons samen/U roept ons samen als kerk van de Heer</v>
      </c>
      <c r="B797" s="4">
        <v>797</v>
      </c>
      <c r="C797" s="4" t="s">
        <v>1301</v>
      </c>
    </row>
    <row r="798" spans="1:3" ht="13" x14ac:dyDescent="0.15">
      <c r="A798" s="4" t="str">
        <f t="shared" si="3"/>
        <v>Opw 798 Houd vol/Wij zijn het volk van God</v>
      </c>
      <c r="B798" s="4">
        <v>798</v>
      </c>
      <c r="C798" s="4" t="s">
        <v>1302</v>
      </c>
    </row>
    <row r="799" spans="1:3" ht="13" x14ac:dyDescent="0.15">
      <c r="A799" s="4" t="str">
        <f t="shared" si="3"/>
        <v>Opw 799 In eeuwigheid/De middag kleurde zwart</v>
      </c>
      <c r="B799" s="4">
        <v>799</v>
      </c>
      <c r="C799" s="4" t="s">
        <v>1303</v>
      </c>
    </row>
    <row r="800" spans="1:3" ht="13" x14ac:dyDescent="0.15">
      <c r="A800" s="4" t="str">
        <f t="shared" si="3"/>
        <v>Opw 800 Koning met eer gekroond/Glorie aan de hoogste Heer</v>
      </c>
      <c r="B800" s="4">
        <v>800</v>
      </c>
      <c r="C800" s="4" t="s">
        <v>1304</v>
      </c>
    </row>
    <row r="801" spans="1:3" ht="13" x14ac:dyDescent="0.15">
      <c r="A801" s="4" t="str">
        <f t="shared" si="3"/>
        <v>Opw 801 Het leven in mij/Mijn hart gelooft, mijn mond belijdt</v>
      </c>
      <c r="B801" s="4">
        <v>801</v>
      </c>
      <c r="C801" s="4" t="s">
        <v>1305</v>
      </c>
    </row>
    <row r="802" spans="1:3" ht="13" x14ac:dyDescent="0.15">
      <c r="A802" s="4" t="str">
        <f t="shared" si="3"/>
        <v>Opw 802 Hier is mijn hart, Heer</v>
      </c>
      <c r="B802" s="4">
        <v>802</v>
      </c>
      <c r="C802" s="4" t="s">
        <v>1306</v>
      </c>
    </row>
    <row r="803" spans="1:3" ht="13" x14ac:dyDescent="0.15">
      <c r="A803" s="4" t="str">
        <f t="shared" si="3"/>
        <v>Opw 803 Vol ontzag/Ontzagwekkend is uw heiligheid</v>
      </c>
      <c r="B803" s="4">
        <v>803</v>
      </c>
      <c r="C803" s="4" t="s">
        <v>1307</v>
      </c>
    </row>
    <row r="804" spans="1:3" ht="13" x14ac:dyDescent="0.15">
      <c r="A804" s="4" t="str">
        <f t="shared" si="3"/>
        <v>Opw 804 Good good father/I've heard a thousand stories</v>
      </c>
      <c r="B804" s="4">
        <v>804</v>
      </c>
      <c r="C804" s="4" t="s">
        <v>1308</v>
      </c>
    </row>
    <row r="805" spans="1:3" ht="13" x14ac:dyDescent="0.15">
      <c r="A805" s="4" t="str">
        <f t="shared" si="3"/>
        <v>Opw 805 Maak ons hart onrustig, God</v>
      </c>
      <c r="B805" s="4">
        <v>805</v>
      </c>
      <c r="C805" s="4" t="s">
        <v>1309</v>
      </c>
    </row>
    <row r="806" spans="1:3" ht="13" x14ac:dyDescent="0.15">
      <c r="A806" s="4" t="str">
        <f t="shared" si="3"/>
        <v>Opw 806 Soeverein/Er ligt hoop in onze tranen</v>
      </c>
      <c r="B806" s="4">
        <v>806</v>
      </c>
      <c r="C806" s="4" t="s">
        <v>1310</v>
      </c>
    </row>
    <row r="807" spans="1:3" ht="13" x14ac:dyDescent="0.15">
      <c r="A807" s="4" t="str">
        <f t="shared" si="3"/>
        <v>Opw 807 God van licht/In mijn twijfels, mijn verdriet</v>
      </c>
      <c r="B807" s="4">
        <v>807</v>
      </c>
      <c r="C807" s="4" t="s">
        <v>1311</v>
      </c>
    </row>
    <row r="808" spans="1:3" ht="13" x14ac:dyDescent="0.15">
      <c r="A808" s="4" t="str">
        <f t="shared" si="3"/>
        <v>Opw 808 Ik leef in U/In de holte van uw hand</v>
      </c>
      <c r="B808" s="4">
        <v>808</v>
      </c>
      <c r="C808" s="4" t="s">
        <v>1312</v>
      </c>
    </row>
    <row r="809" spans="1:3" ht="13" x14ac:dyDescent="0.15">
      <c r="A809" s="4" t="str">
        <f t="shared" si="3"/>
        <v>Opw 809 Dit is Jezus/Vanaf het begin was het Woord bij God</v>
      </c>
      <c r="B809" s="4">
        <v>809</v>
      </c>
      <c r="C809" s="4" t="s">
        <v>1313</v>
      </c>
    </row>
    <row r="810" spans="1:3" ht="13" x14ac:dyDescent="0.15">
      <c r="A810" s="4" t="str">
        <f t="shared" si="3"/>
        <v>Opw 810 Smaak van redding/Onze God roept ons aan tafel</v>
      </c>
      <c r="B810" s="4">
        <v>810</v>
      </c>
      <c r="C810" s="4" t="s">
        <v>1314</v>
      </c>
    </row>
    <row r="811" spans="1:3" ht="13" x14ac:dyDescent="0.15">
      <c r="A811" s="4" t="str">
        <f t="shared" si="3"/>
        <v>Opw 811 Witter dan sneeuw (Psalm 51)/Was mij witter dan sneeuw</v>
      </c>
      <c r="B811" s="4">
        <v>811</v>
      </c>
      <c r="C811" s="4" t="s">
        <v>1315</v>
      </c>
    </row>
    <row r="812" spans="1:3" ht="13" x14ac:dyDescent="0.15">
      <c r="A812" s="4" t="str">
        <f t="shared" si="3"/>
        <v>Opw 812 What a beautiful name/You were the Word at the beginning</v>
      </c>
      <c r="B812" s="4">
        <v>812</v>
      </c>
      <c r="C812" s="4" t="s">
        <v>1316</v>
      </c>
    </row>
    <row r="813" spans="1:3" ht="13" x14ac:dyDescent="0.15">
      <c r="A813" s="4" t="str">
        <f t="shared" si="3"/>
        <v>Opw 813 Uw liefde wint elke strijd/Heer, U leidt mij door uw hand</v>
      </c>
      <c r="B813" s="4">
        <v>813</v>
      </c>
      <c r="C813" s="4" t="s">
        <v>1317</v>
      </c>
    </row>
    <row r="814" spans="1:3" ht="13" x14ac:dyDescent="0.15">
      <c r="A814" s="4" t="str">
        <f t="shared" si="3"/>
        <v>Opw 814 Glorieus/De hemel verhaalt van zijn majesteit</v>
      </c>
      <c r="B814" s="4">
        <v>814</v>
      </c>
      <c r="C814" s="4" t="s">
        <v>1318</v>
      </c>
    </row>
    <row r="815" spans="1:3" ht="13" x14ac:dyDescent="0.15">
      <c r="A815" s="4" t="str">
        <f t="shared" si="3"/>
        <v>Opw 815 Vul dit huis met Uw glorie</v>
      </c>
      <c r="B815" s="4">
        <v>815</v>
      </c>
      <c r="C815" s="4" t="s">
        <v>1319</v>
      </c>
    </row>
    <row r="816" spans="1:3" ht="13" x14ac:dyDescent="0.15">
      <c r="A816" s="4" t="str">
        <f t="shared" si="3"/>
        <v>Opw 816 Hoogste God/Kom kijken wat de Heer gaat doen</v>
      </c>
      <c r="B816" s="4">
        <v>816</v>
      </c>
      <c r="C816" s="4" t="s">
        <v>1320</v>
      </c>
    </row>
    <row r="817" spans="1:3" ht="13" x14ac:dyDescent="0.15">
      <c r="A817" s="4" t="str">
        <f t="shared" si="3"/>
        <v>Opw 817 Wij hebben U lief/Heer Jezus, hier zijn wij</v>
      </c>
      <c r="B817" s="4">
        <v>817</v>
      </c>
      <c r="C817" s="4" t="s">
        <v>1321</v>
      </c>
    </row>
    <row r="818" spans="1:3" ht="13" x14ac:dyDescent="0.15">
      <c r="A818" s="4" t="str">
        <f t="shared" si="3"/>
        <v>Opw 818 Op die dag/Eenmaal maakt U alles weer nieuw, Jezus</v>
      </c>
      <c r="B818" s="4">
        <v>818</v>
      </c>
      <c r="C818" s="4" t="s">
        <v>1322</v>
      </c>
    </row>
    <row r="819" spans="1:3" ht="13" x14ac:dyDescent="0.15">
      <c r="A819" s="4" t="str">
        <f t="shared" si="3"/>
        <v>Opw 819 Niemand anders/Wie deed de eerste zon opgaan</v>
      </c>
      <c r="B819" s="4">
        <v>819</v>
      </c>
      <c r="C819" s="4" t="s">
        <v>1323</v>
      </c>
    </row>
    <row r="820" spans="1:3" ht="13" x14ac:dyDescent="0.15">
      <c r="A820" s="4" t="str">
        <f t="shared" si="3"/>
        <v>Opw 820 Feest van genade/Alzo lief had God de wereld (Opw)</v>
      </c>
      <c r="B820" s="4">
        <v>820</v>
      </c>
      <c r="C820" s="4" t="s">
        <v>1324</v>
      </c>
    </row>
    <row r="821" spans="1:3" ht="13" x14ac:dyDescent="0.15">
      <c r="A821" s="4" t="str">
        <f t="shared" si="3"/>
        <v>Opw 821 U verdient de eer/Kom en zing een vreugdelied</v>
      </c>
      <c r="B821" s="4">
        <v>821</v>
      </c>
      <c r="C821" s="4" t="s">
        <v>1325</v>
      </c>
    </row>
    <row r="822" spans="1:3" ht="13" x14ac:dyDescent="0.15">
      <c r="A822" s="4" t="str">
        <f t="shared" si="3"/>
        <v>Opw 822 Mijn anker/Hoe diep de zee ook is</v>
      </c>
      <c r="B822" s="4">
        <v>822</v>
      </c>
      <c r="C822" s="4" t="s">
        <v>1326</v>
      </c>
    </row>
    <row r="823" spans="1:3" ht="13" x14ac:dyDescent="0.15">
      <c r="A823" s="4" t="str">
        <f t="shared" si="3"/>
        <v>Opw 823 Hij laat ons niet vallen/Op God is onze hoop</v>
      </c>
      <c r="B823" s="4">
        <v>823</v>
      </c>
      <c r="C823" s="4" t="s">
        <v>1327</v>
      </c>
    </row>
    <row r="824" spans="1:3" ht="13" x14ac:dyDescent="0.15">
      <c r="A824" s="4" t="str">
        <f t="shared" si="3"/>
        <v>Opw 824 Morgen dans je weer/Prijs Hem, in je dag vol zorgen</v>
      </c>
      <c r="B824" s="4">
        <v>824</v>
      </c>
      <c r="C824" s="4" t="s">
        <v>1328</v>
      </c>
    </row>
    <row r="825" spans="1:3" ht="13" x14ac:dyDescent="0.15">
      <c r="A825" s="4" t="str">
        <f t="shared" si="3"/>
        <v>Opw 825 Reckless Love/Before I spoke a word</v>
      </c>
      <c r="B825" s="4">
        <v>825</v>
      </c>
      <c r="C825" s="4" t="s">
        <v>1329</v>
      </c>
    </row>
    <row r="826" spans="1:3" ht="13" x14ac:dyDescent="0.15">
      <c r="A826" s="4" t="str">
        <f t="shared" si="3"/>
        <v>Opw 826 De Heer is mijn Bevrijder/God keek genadig naar mij om</v>
      </c>
      <c r="B826" s="4">
        <v>826</v>
      </c>
      <c r="C826" s="4" t="s">
        <v>1330</v>
      </c>
    </row>
    <row r="827" spans="1:3" ht="13" x14ac:dyDescent="0.15">
      <c r="A827" s="4" t="str">
        <f t="shared" si="3"/>
        <v>Opw 827 Zie onze God/Wie omvat de zeeën met zijn hand</v>
      </c>
      <c r="B827" s="4">
        <v>827</v>
      </c>
      <c r="C827" s="4" t="s">
        <v>1331</v>
      </c>
    </row>
    <row r="828" spans="1:3" ht="13" x14ac:dyDescent="0.15">
      <c r="A828" s="4" t="str">
        <f t="shared" si="3"/>
        <v>Opw 828 Waardig is uw naam/Lam van God, U die alle zonden</v>
      </c>
      <c r="B828" s="4">
        <v>828</v>
      </c>
      <c r="C828" s="4" t="s">
        <v>1332</v>
      </c>
    </row>
    <row r="829" spans="1:3" ht="13" x14ac:dyDescent="0.15">
      <c r="A829" s="4" t="str">
        <f t="shared" si="3"/>
        <v>Opw 829 Wij zoeken U/O Heer, verlos ons van het kwaad</v>
      </c>
      <c r="B829" s="4">
        <v>829</v>
      </c>
      <c r="C829" s="4" t="s">
        <v>1333</v>
      </c>
    </row>
    <row r="830" spans="1:3" ht="13" x14ac:dyDescent="0.15">
      <c r="A830" s="4" t="str">
        <f t="shared" si="3"/>
        <v>Opw 830 Vragen/Hoe we ook zwerven, zoekend en vragend</v>
      </c>
      <c r="B830" s="4">
        <v>830</v>
      </c>
      <c r="C830" s="4" t="s">
        <v>1334</v>
      </c>
    </row>
    <row r="831" spans="1:3" ht="13" x14ac:dyDescent="0.15">
      <c r="A831" s="4" t="str">
        <f t="shared" si="3"/>
        <v>Opw 831 Hemelhoog/U gaat uw eigen wegen</v>
      </c>
      <c r="B831" s="4">
        <v>831</v>
      </c>
      <c r="C831" s="4" t="s">
        <v>1335</v>
      </c>
    </row>
    <row r="832" spans="1:3" ht="13" x14ac:dyDescent="0.15">
      <c r="A832" s="4" t="str">
        <f t="shared" si="3"/>
        <v>Opw 832 Jezus Overwinnaar/Waar U verschijnt, wordt alles nieuw</v>
      </c>
      <c r="B832" s="4">
        <v>832</v>
      </c>
      <c r="C832" s="4" t="s">
        <v>1336</v>
      </c>
    </row>
    <row r="833" spans="1:3" ht="13" x14ac:dyDescent="0.15">
      <c r="A833" s="4" t="str">
        <f t="shared" si="3"/>
        <v>Opw 833 Kom, verras ons/U ontmoet ons, soms zo onverwachts</v>
      </c>
      <c r="B833" s="4">
        <v>833</v>
      </c>
      <c r="C833" s="4" t="s">
        <v>1337</v>
      </c>
    </row>
    <row r="834" spans="1:3" ht="13" x14ac:dyDescent="0.15">
      <c r="A834" s="4" t="str">
        <f t="shared" si="3"/>
        <v>Opw 834 Door Gebed/Door gebed wordt duisternis verlicht</v>
      </c>
      <c r="B834" s="4">
        <v>834</v>
      </c>
      <c r="C834" s="4" t="s">
        <v>1338</v>
      </c>
    </row>
    <row r="835" spans="1:3" ht="13" x14ac:dyDescent="0.15">
      <c r="A835" s="4" t="str">
        <f t="shared" si="3"/>
        <v>Opw 835 Blijf voor Hem zingen/Zing voor Hem, hemellichten</v>
      </c>
      <c r="B835" s="4">
        <v>835</v>
      </c>
      <c r="C835" s="4" t="s">
        <v>1339</v>
      </c>
    </row>
    <row r="836" spans="1:3" ht="13" x14ac:dyDescent="0.15">
      <c r="A836" s="4" t="str">
        <f t="shared" si="3"/>
        <v>Opw 836 Door en door goed/Geen pen kan ooit beschrijven</v>
      </c>
      <c r="B836" s="4">
        <v>836</v>
      </c>
      <c r="C836" s="4" t="s">
        <v>1340</v>
      </c>
    </row>
    <row r="837" spans="1:3" ht="13" x14ac:dyDescent="0.15">
      <c r="A837" s="4" t="str">
        <f t="shared" si="3"/>
        <v>Opw 837 Toon ons uw glorie/U roept ons, wij komen</v>
      </c>
      <c r="B837" s="4">
        <v>837</v>
      </c>
      <c r="C837" s="4" t="s">
        <v>1341</v>
      </c>
    </row>
    <row r="838" spans="1:3" ht="13" x14ac:dyDescent="0.15">
      <c r="A838" s="4" t="str">
        <f t="shared" si="3"/>
        <v>Opw 838 Proef en zie/Ik zoek de Heer</v>
      </c>
      <c r="B838" s="4">
        <v>838</v>
      </c>
      <c r="C838" s="4" t="s">
        <v>1342</v>
      </c>
    </row>
    <row r="839" spans="1:3" ht="13" x14ac:dyDescent="0.15">
      <c r="A839" s="4" t="str">
        <f t="shared" si="3"/>
        <v>Opw 839 Aanbid Hem/Hij die was voor licht werd verspreid</v>
      </c>
      <c r="B839" s="4">
        <v>839</v>
      </c>
      <c r="C839" s="4" t="s">
        <v>1343</v>
      </c>
    </row>
    <row r="840" spans="1:3" ht="13" x14ac:dyDescent="0.15">
      <c r="A840" s="4" t="str">
        <f t="shared" si="3"/>
        <v>Opw 840 Heer, ik wacht op U/Vanuit de diepte roep ik U</v>
      </c>
      <c r="B840" s="4">
        <v>840</v>
      </c>
      <c r="C840" s="4" t="s">
        <v>1344</v>
      </c>
    </row>
    <row r="841" spans="1:3" ht="13" x14ac:dyDescent="0.15">
      <c r="A841" s="4" t="str">
        <f t="shared" si="3"/>
        <v>Opw 841 U mijn Heer/In U is alles vervuld</v>
      </c>
      <c r="B841" s="4">
        <v>841</v>
      </c>
      <c r="C841" s="4" t="s">
        <v>1345</v>
      </c>
    </row>
    <row r="842" spans="1:3" ht="13" x14ac:dyDescent="0.15">
      <c r="A842" s="4" t="str">
        <f t="shared" si="3"/>
        <v>Opw 842 Moedig kom ik voor uw troon/Waar engelen vol eerbied staan</v>
      </c>
      <c r="B842" s="4">
        <v>842</v>
      </c>
      <c r="C842" s="4" t="s">
        <v>1346</v>
      </c>
    </row>
    <row r="843" spans="1:3" ht="13" x14ac:dyDescent="0.15">
      <c r="A843" s="4" t="str">
        <f t="shared" si="3"/>
        <v>Opw 843 Vaste hoop/Diep was de kloof die mij van U scheidde</v>
      </c>
      <c r="B843" s="4">
        <v>843</v>
      </c>
      <c r="C843" s="4" t="s">
        <v>1347</v>
      </c>
    </row>
    <row r="844" spans="1:3" ht="13" x14ac:dyDescent="0.15">
      <c r="A844" s="4" t="str">
        <f t="shared" si="3"/>
        <v>Opw 844 Zegen/De God van Abraham, Isaak en Jakob</v>
      </c>
      <c r="B844" s="4">
        <v>844</v>
      </c>
      <c r="C844" s="4" t="s">
        <v>1348</v>
      </c>
    </row>
    <row r="845" spans="1:3" ht="13" x14ac:dyDescent="0.15">
      <c r="A845" s="4" t="str">
        <f t="shared" si="3"/>
        <v>Opw 845 De zegen/De Heer zegent en beschermt jou</v>
      </c>
      <c r="B845" s="4">
        <v>845</v>
      </c>
      <c r="C845" s="4" t="s">
        <v>1349</v>
      </c>
    </row>
    <row r="846" spans="1:3" ht="13" x14ac:dyDescent="0.15">
      <c r="A846" s="4" t="str">
        <f t="shared" si="3"/>
        <v>Opw 846 Abba/U bent een Vader die zingt en juicht over ons</v>
      </c>
      <c r="B846" s="4">
        <v>846</v>
      </c>
      <c r="C846" s="4" t="s">
        <v>1350</v>
      </c>
    </row>
    <row r="847" spans="1:3" ht="13" x14ac:dyDescent="0.15">
      <c r="A847" s="4" t="str">
        <f t="shared" si="3"/>
        <v>Opw 847 Onze schuilplaats is God/Er is hoop die groter dan de dood is</v>
      </c>
      <c r="B847" s="4">
        <v>847</v>
      </c>
      <c r="C847" s="4" t="s">
        <v>1351</v>
      </c>
    </row>
    <row r="848" spans="1:3" ht="13" x14ac:dyDescent="0.15">
      <c r="A848" s="4" t="str">
        <f t="shared" si="3"/>
        <v>Opw 848 Alzo lief/Kom als je moe bent</v>
      </c>
      <c r="B848" s="4">
        <v>848</v>
      </c>
      <c r="C848" s="4" t="s">
        <v>1352</v>
      </c>
    </row>
    <row r="849" spans="1:3" ht="13" x14ac:dyDescent="0.15">
      <c r="A849" s="4" t="str">
        <f t="shared" si="3"/>
        <v>Opw 849 Goedheid van God/Ik hou van U. Uw genade blijft me dragen</v>
      </c>
      <c r="B849" s="4">
        <v>849</v>
      </c>
      <c r="C849" s="4" t="s">
        <v>1353</v>
      </c>
    </row>
    <row r="850" spans="1:3" ht="13" x14ac:dyDescent="0.15">
      <c r="A850" s="4" t="str">
        <f t="shared" si="3"/>
        <v>Opw 850 Het komt door ZIJN naam/Ons getuigenis is rijk</v>
      </c>
      <c r="B850" s="4">
        <v>850</v>
      </c>
      <c r="C850" s="4" t="s">
        <v>1354</v>
      </c>
    </row>
    <row r="851" spans="1:3" ht="13" x14ac:dyDescent="0.15">
      <c r="A851" s="4" t="str">
        <f t="shared" si="3"/>
        <v>Opw 851 Prijs de Koning/Heer, wij dwaalden in het donker</v>
      </c>
      <c r="B851" s="4">
        <v>851</v>
      </c>
      <c r="C851" s="4" t="s">
        <v>1355</v>
      </c>
    </row>
    <row r="852" spans="1:3" ht="13" x14ac:dyDescent="0.15">
      <c r="A852" s="4" t="str">
        <f t="shared" si="3"/>
        <v>Opw 852 Zie het Lam van God</v>
      </c>
      <c r="B852" s="4">
        <v>852</v>
      </c>
      <c r="C852" s="4" t="s">
        <v>1356</v>
      </c>
    </row>
    <row r="853" spans="1:3" ht="13" x14ac:dyDescent="0.15">
      <c r="A853" s="4" t="str">
        <f t="shared" si="3"/>
        <v>Opw 853 Zing zijn lied opnieuw/Zijn genade een wonder, zijn glorie zo groot</v>
      </c>
      <c r="B853" s="4">
        <v>853</v>
      </c>
      <c r="C853" s="4" t="s">
        <v>1357</v>
      </c>
    </row>
    <row r="854" spans="1:3" ht="13" x14ac:dyDescent="0.15">
      <c r="A854" s="4" t="str">
        <f t="shared" si="3"/>
        <v>Opw 854 In de stilte/Hier in de stilte zoek ik U</v>
      </c>
      <c r="B854" s="4">
        <v>854</v>
      </c>
      <c r="C854" s="4" t="s">
        <v>1358</v>
      </c>
    </row>
    <row r="855" spans="1:3" ht="13" x14ac:dyDescent="0.15">
      <c r="A855" s="4" t="str">
        <f t="shared" si="3"/>
        <v>Opw 855 U geeft rust/De aarde kent uw grote kracht</v>
      </c>
      <c r="B855" s="4">
        <v>855</v>
      </c>
      <c r="C855" s="4" t="s">
        <v>1359</v>
      </c>
    </row>
    <row r="856" spans="1:3" ht="13" x14ac:dyDescent="0.15">
      <c r="A856" s="4" t="str">
        <f t="shared" si="3"/>
        <v>Opw 856 Het bloed van Jezus spreekt voor mij</v>
      </c>
      <c r="B856" s="4">
        <v>856</v>
      </c>
      <c r="C856" s="4" t="s">
        <v>1360</v>
      </c>
    </row>
    <row r="857" spans="1:3" ht="13" x14ac:dyDescent="0.15">
      <c r="A857" s="4" t="str">
        <f t="shared" si="3"/>
        <v>Opw 857 Hoop in leven en in dood/Wie troost in leven en in dood</v>
      </c>
      <c r="B857" s="4">
        <v>857</v>
      </c>
      <c r="C857" s="4" t="s">
        <v>1361</v>
      </c>
    </row>
    <row r="858" spans="1:3" ht="13" x14ac:dyDescent="0.15">
      <c r="A858" s="4" t="str">
        <f t="shared" si="3"/>
        <v>Opw 858 De strijd behoort U toe / Als ik alleen maar strijd zie</v>
      </c>
      <c r="B858" s="4">
        <v>858</v>
      </c>
      <c r="C858" s="4" t="s">
        <v>1362</v>
      </c>
    </row>
    <row r="859" spans="1:3" ht="13" x14ac:dyDescent="0.15">
      <c r="A859" s="4" t="str">
        <f t="shared" si="3"/>
        <v>Opw 859 Een nieuwe naam / Verloren en beschaamd</v>
      </c>
      <c r="B859" s="4">
        <v>859</v>
      </c>
      <c r="C859" s="4" t="s">
        <v>1363</v>
      </c>
    </row>
    <row r="860" spans="1:3" ht="13" x14ac:dyDescent="0.15">
      <c r="A860" s="4" t="str">
        <f t="shared" si="3"/>
        <v>Opw 860 Toon mij uw glorie / Hier ben ik, hier bij U</v>
      </c>
      <c r="B860" s="4">
        <v>860</v>
      </c>
      <c r="C860" s="4" t="s">
        <v>1364</v>
      </c>
    </row>
    <row r="861" spans="1:3" ht="13" x14ac:dyDescent="0.15">
      <c r="A861" s="4" t="str">
        <f t="shared" si="3"/>
        <v>Opw 861 Uw grote trouw / U bent waar wij zijn</v>
      </c>
      <c r="B861" s="4">
        <v>861</v>
      </c>
      <c r="C861" s="4" t="s">
        <v>1365</v>
      </c>
    </row>
    <row r="862" spans="1:3" ht="13" x14ac:dyDescent="0.15">
      <c r="A862" s="4" t="str">
        <f t="shared" si="3"/>
        <v>Opw 862 Vrijheid / Stap uit de schaduw</v>
      </c>
      <c r="B862" s="4">
        <v>862</v>
      </c>
      <c r="C862" s="4" t="s">
        <v>1366</v>
      </c>
    </row>
    <row r="863" spans="1:3" ht="13" x14ac:dyDescent="0.15">
      <c r="A863" s="4" t="str">
        <f t="shared" si="3"/>
        <v>Opw 863 Verhoog zijn naam / Alles wat leeft, bestaat door Hem</v>
      </c>
      <c r="B863" s="4">
        <v>863</v>
      </c>
      <c r="C863" s="4" t="s">
        <v>1367</v>
      </c>
    </row>
    <row r="864" spans="1:3" ht="13" x14ac:dyDescent="0.15">
      <c r="A864" s="4" t="str">
        <f t="shared" si="3"/>
        <v>Opw 864 Alle glorie / Er is maar een god die zijn troon verliet</v>
      </c>
      <c r="B864" s="4">
        <v>864</v>
      </c>
      <c r="C864" s="4" t="s">
        <v>1368</v>
      </c>
    </row>
    <row r="865" spans="1:3" ht="13" x14ac:dyDescent="0.15">
      <c r="A865" s="4" t="str">
        <f t="shared" si="3"/>
        <v>Opw 865 Hier zijn / Alles kan wachten, Heer</v>
      </c>
      <c r="B865" s="4">
        <v>865</v>
      </c>
      <c r="C865" s="4" t="s">
        <v>1369</v>
      </c>
    </row>
    <row r="866" spans="1:3" ht="13" x14ac:dyDescent="0.15">
      <c r="A866" s="4" t="str">
        <f t="shared" si="3"/>
        <v>Opw 866 Egypte / Dit blijft ons bij</v>
      </c>
      <c r="B866" s="4">
        <v>866</v>
      </c>
      <c r="C866" s="4" t="s">
        <v>1370</v>
      </c>
    </row>
    <row r="867" spans="1:3" ht="13" x14ac:dyDescent="0.15">
      <c r="A867" s="4" t="str">
        <f t="shared" si="3"/>
        <v>Opw 867 De naam van Jezus / In geloof spreek ik de naam van Jezus</v>
      </c>
      <c r="B867" s="4">
        <v>867</v>
      </c>
      <c r="C867" s="4" t="s">
        <v>1371</v>
      </c>
    </row>
    <row r="868" spans="1:3" ht="13" x14ac:dyDescent="0.15">
      <c r="A868" s="4" t="str">
        <f t="shared" si="3"/>
        <v>Opw 868 Hoop en redding / Hoor ons bidden, hoogste Koning</v>
      </c>
      <c r="B868" s="4">
        <v>868</v>
      </c>
      <c r="C868" s="4" t="s">
        <v>1372</v>
      </c>
    </row>
    <row r="869" spans="1:3" ht="13" x14ac:dyDescent="0.15">
      <c r="A869" s="4" t="str">
        <f t="shared" si="3"/>
        <v>Opw 869 Huis van gebed / Maak dit huis tot een huis van gebed</v>
      </c>
      <c r="B869" s="4">
        <v>869</v>
      </c>
      <c r="C869" s="4" t="s">
        <v>1373</v>
      </c>
    </row>
    <row r="870" spans="1:3" ht="13" x14ac:dyDescent="0.15">
      <c r="A870" s="4" t="str">
        <f t="shared" si="3"/>
        <v>Opw 870 Diep geraakt / Wij zien grote daden van Jezus</v>
      </c>
      <c r="B870" s="4">
        <v>870</v>
      </c>
      <c r="C870" s="4" t="s">
        <v>1374</v>
      </c>
    </row>
    <row r="871" spans="1:3" ht="13" x14ac:dyDescent="0.15">
      <c r="A871" s="4" t="str">
        <f t="shared" si="3"/>
        <v>Opw 871 Heer, U riep ons uit de duisternis / Laat de volken zingen</v>
      </c>
      <c r="B871" s="4">
        <v>871</v>
      </c>
      <c r="C871" s="4" t="s">
        <v>1375</v>
      </c>
    </row>
    <row r="872" spans="1:3" ht="13" x14ac:dyDescent="0.15">
      <c r="A872" s="4" t="str">
        <f t="shared" si="3"/>
        <v>Opw 872 Liefde daalde neer / Wonderlijke kracht</v>
      </c>
      <c r="B872" s="4">
        <v>872</v>
      </c>
      <c r="C872" s="4" t="s">
        <v>1376</v>
      </c>
    </row>
    <row r="873" spans="1:3" ht="13" x14ac:dyDescent="0.15">
      <c r="A873" s="4" t="str">
        <f t="shared" si="3"/>
        <v>Opw 873 Wie anders laat zelfs stenen zingen / Duizend halleluja's</v>
      </c>
      <c r="B873" s="4">
        <v>873</v>
      </c>
      <c r="C873" s="4" t="s">
        <v>1377</v>
      </c>
    </row>
    <row r="874" spans="1:3" ht="13" x14ac:dyDescent="0.15">
      <c r="A874" s="4" t="str">
        <f t="shared" si="3"/>
        <v>Opw 874 God van Abraham /Uw trouw</v>
      </c>
      <c r="B874" s="4">
        <v>874</v>
      </c>
      <c r="C874" s="4" t="s">
        <v>1378</v>
      </c>
    </row>
    <row r="875" spans="1:3" ht="13" x14ac:dyDescent="0.15">
      <c r="A875" s="4" t="str">
        <f t="shared" si="3"/>
        <v>Opw 875 Heer, ik liep vast / Dank U Jezus voor uw kostbaar bloed</v>
      </c>
      <c r="B875" s="4">
        <v>875</v>
      </c>
      <c r="C875" s="4" t="s">
        <v>1379</v>
      </c>
    </row>
    <row r="876" spans="1:3" ht="13" x14ac:dyDescent="0.15">
      <c r="A876" s="4" t="str">
        <f t="shared" si="3"/>
        <v>Opw 876 Duizend generaties knielen in aanbidding / Voor altijd heilig</v>
      </c>
      <c r="B876" s="4">
        <v>876</v>
      </c>
      <c r="C876" s="4" t="s">
        <v>1380</v>
      </c>
    </row>
    <row r="877" spans="1:3" ht="13" x14ac:dyDescent="0.15">
      <c r="A877" s="4" t="str">
        <f t="shared" si="3"/>
        <v>Opw 877 Ik roep tot U, de God van Jakob /U bent dezelfde</v>
      </c>
      <c r="B877" s="4">
        <v>877</v>
      </c>
      <c r="C877" s="4" t="s">
        <v>1381</v>
      </c>
    </row>
    <row r="878" spans="1:3" ht="13" x14ac:dyDescent="0.15">
      <c r="A878" s="4" t="str">
        <f t="shared" si="3"/>
        <v>Opw 878 Adonai, Elohim, de Ik Ben, U bent hier/ Voor eeuwig Jahweh</v>
      </c>
      <c r="B878" s="4">
        <v>878</v>
      </c>
      <c r="C878" s="4" t="s">
        <v>1382</v>
      </c>
    </row>
    <row r="879" spans="1:3" ht="13" x14ac:dyDescent="0.15">
      <c r="A879" s="4" t="str">
        <f t="shared" si="3"/>
        <v>Opw 879 U verwelkomt ons / Hart vol lof</v>
      </c>
      <c r="B879" s="4">
        <v>879</v>
      </c>
      <c r="C879" s="4" t="s">
        <v>1383</v>
      </c>
    </row>
    <row r="880" spans="1:3" ht="13" x14ac:dyDescent="0.15">
      <c r="A880" s="4" t="str">
        <f t="shared" si="3"/>
        <v>Opw 880 Heer, ik roep vanuit het dal</v>
      </c>
      <c r="B880" s="4">
        <v>880</v>
      </c>
      <c r="C880" s="4" t="s">
        <v>1384</v>
      </c>
    </row>
    <row r="881" spans="1:3" ht="13" x14ac:dyDescent="0.15">
      <c r="A881" s="4" t="str">
        <f t="shared" si="3"/>
        <v>Opw 881 Kom en aanbid onze Heer / Machtige daden</v>
      </c>
      <c r="B881" s="4">
        <v>881</v>
      </c>
      <c r="C881" s="4" t="s">
        <v>1385</v>
      </c>
    </row>
    <row r="882" spans="1:3" ht="13" x14ac:dyDescent="0.15">
      <c r="A882" s="4" t="str">
        <f t="shared" si="3"/>
        <v>Opw 882 Ik wil U kennen, persoonlijk kennen / Kennen</v>
      </c>
      <c r="B882" s="4">
        <v>882</v>
      </c>
      <c r="C882" s="4" t="s">
        <v>1386</v>
      </c>
    </row>
    <row r="883" spans="1:3" ht="13" x14ac:dyDescent="0.15">
      <c r="A883" s="4" t="str">
        <f t="shared" si="3"/>
        <v>Opw 883 Het leven kan soms kwetsbaar en onzeker zijn / Wij zien Jezus</v>
      </c>
      <c r="B883" s="4">
        <v>883</v>
      </c>
      <c r="C883" s="4" t="s">
        <v>1387</v>
      </c>
    </row>
    <row r="884" spans="1:3" ht="13" x14ac:dyDescent="0.15">
      <c r="A884" s="4" t="str">
        <f t="shared" si="3"/>
        <v>Opw 884 Oneindige goedheid, trouw zonder grenzen / Allesomvattend</v>
      </c>
      <c r="B884" s="4">
        <v>884</v>
      </c>
      <c r="C884" s="4" t="s">
        <v>1388</v>
      </c>
    </row>
    <row r="885" spans="1:3" ht="13" x14ac:dyDescent="0.15">
      <c r="A885" s="4" t="str">
        <f t="shared" si="3"/>
        <v>Opw 885 Let everything that has breath / Praise</v>
      </c>
      <c r="B885" s="4">
        <v>885</v>
      </c>
      <c r="C885" s="4" t="s">
        <v>1389</v>
      </c>
    </row>
    <row r="886" spans="1:3" ht="13" x14ac:dyDescent="0.15">
      <c r="A886" s="4" t="str">
        <f t="shared" si="3"/>
        <v>Opw 886 Muren van zonde en schuld hielden ons vast / Dit is onze God</v>
      </c>
      <c r="B886" s="4">
        <v>886</v>
      </c>
      <c r="C886" s="4" t="s">
        <v>1390</v>
      </c>
    </row>
    <row r="887" spans="1:3" ht="13" x14ac:dyDescent="0.15">
      <c r="A887" s="4" t="str">
        <f t="shared" si="3"/>
        <v>Opw 887 Eén naam verdient onze aanbidding / Kijk naar het Lam</v>
      </c>
      <c r="B887" s="4">
        <v>887</v>
      </c>
      <c r="C887" s="4" t="s">
        <v>1391</v>
      </c>
    </row>
    <row r="888" spans="1:3" ht="13" x14ac:dyDescent="0.15">
      <c r="A888" s="4" t="str">
        <f t="shared" si="3"/>
        <v>Opw 888 Zie het Lam, zie de wonden in zijn hand / Hij leeft(, Hij leeft)</v>
      </c>
      <c r="B888" s="4">
        <v>888</v>
      </c>
      <c r="C888" s="4" t="s">
        <v>1392</v>
      </c>
    </row>
    <row r="889" spans="1:3" ht="13" x14ac:dyDescent="0.15">
      <c r="A889" s="4" t="str">
        <f t="shared" si="3"/>
        <v>Opw 889 Het licht breekt door, de dag ontwaakt / Dagelijks gebed</v>
      </c>
      <c r="B889" s="4">
        <v>889</v>
      </c>
      <c r="C889" s="4" t="s">
        <v>1393</v>
      </c>
    </row>
    <row r="890" spans="1:3" ht="13" x14ac:dyDescent="0.15">
      <c r="A890" s="4" t="str">
        <f t="shared" si="3"/>
        <v>Opw 890 Hier zijn wij, hier bent U / Wij aanbidden U, Jezus</v>
      </c>
      <c r="B890" s="4">
        <v>890</v>
      </c>
      <c r="C890" s="4" t="s">
        <v>1394</v>
      </c>
    </row>
    <row r="891" spans="1:3" ht="13" x14ac:dyDescent="0.15">
      <c r="A891" s="4" t="str">
        <f t="shared" si="3"/>
        <v>Opw 891 Of ik wonden moet verzorgen / Zend mij</v>
      </c>
      <c r="B891" s="4">
        <v>891</v>
      </c>
      <c r="C891" s="4" t="s">
        <v>1395</v>
      </c>
    </row>
    <row r="892" spans="1:3" ht="13" x14ac:dyDescent="0.15">
      <c r="A892" s="4" t="str">
        <f t="shared" si="3"/>
        <v>Opw 892 Here is where I lay it down / Make room</v>
      </c>
      <c r="B892" s="4">
        <v>892</v>
      </c>
      <c r="C892" s="4" t="s">
        <v>1396</v>
      </c>
    </row>
    <row r="893" spans="1:3" ht="13" x14ac:dyDescent="0.15">
      <c r="A893" s="4" t="str">
        <f t="shared" si="3"/>
        <v>Opw 893 Wat ik zo nodig heb / Huis van vrede</v>
      </c>
      <c r="B893" s="4">
        <v>893</v>
      </c>
      <c r="C893" s="4" t="s">
        <v>1397</v>
      </c>
    </row>
    <row r="894" spans="1:3" ht="13" x14ac:dyDescent="0.15">
      <c r="A894" s="4" t="str">
        <f t="shared" si="3"/>
        <v>Opw 894 Gezegend is wie bij Hem schuilt / Prijs God</v>
      </c>
      <c r="B894" s="4">
        <v>894</v>
      </c>
      <c r="C894" s="4" t="s">
        <v>1398</v>
      </c>
    </row>
    <row r="895" spans="1:3" ht="13" x14ac:dyDescent="0.15">
      <c r="A895" s="4" t="str">
        <f t="shared" si="3"/>
        <v>Opw 895 Wij zullen niet bang zijn / God is voor ons</v>
      </c>
      <c r="B895" s="4">
        <v>895</v>
      </c>
      <c r="C895" s="4" t="s">
        <v>1399</v>
      </c>
    </row>
    <row r="896" spans="1:3" ht="13" x14ac:dyDescent="0.15">
      <c r="A896" s="4" t="str">
        <f t="shared" si="3"/>
        <v>Opw 896 Wij kijken reikhalzend uit naar de wolken /Reikhalzend</v>
      </c>
      <c r="B896" s="4">
        <v>896</v>
      </c>
      <c r="C896" s="4" t="s">
        <v>1400</v>
      </c>
    </row>
    <row r="897" spans="1:3" ht="13" x14ac:dyDescent="0.15">
      <c r="A897" s="4" t="str">
        <f t="shared" si="3"/>
        <v>Opw 897 Zie, op het kruis van Golgotha / Wat Hij deed</v>
      </c>
      <c r="B897" s="4">
        <v>897</v>
      </c>
      <c r="C897" s="4" t="s">
        <v>1401</v>
      </c>
    </row>
    <row r="898" spans="1:3" ht="13" x14ac:dyDescent="0.15">
      <c r="A898" s="4" t="str">
        <f t="shared" si="3"/>
        <v>Opw 898 Breek de hemelen open</v>
      </c>
      <c r="B898" s="4">
        <v>898</v>
      </c>
      <c r="C898" s="4" t="s">
        <v>1402</v>
      </c>
    </row>
    <row r="899" spans="1:3" ht="13" x14ac:dyDescent="0.15">
      <c r="A899" s="4" t="str">
        <f t="shared" si="3"/>
        <v>Opw 899 U gaf mij deel aan uw verbond / Alleen door Jezus</v>
      </c>
      <c r="B899" s="4">
        <v>899</v>
      </c>
      <c r="C899" s="4" t="s">
        <v>1403</v>
      </c>
    </row>
    <row r="900" spans="1:3" ht="13" x14ac:dyDescent="0.15">
      <c r="A900" s="4" t="str">
        <f t="shared" si="3"/>
        <v>Opw 900 I've got joy in the morning /Joy</v>
      </c>
      <c r="B900" s="4">
        <v>900</v>
      </c>
      <c r="C900" s="4" t="s">
        <v>1404</v>
      </c>
    </row>
    <row r="901" spans="1:3" ht="13" x14ac:dyDescent="0.15">
      <c r="A901" s="4" t="str">
        <f t="shared" si="3"/>
        <v>Opw 901 Sinds het begin, Heer /Ik geloof( Gayle)</v>
      </c>
      <c r="B901" s="4">
        <v>901</v>
      </c>
      <c r="C901" s="4" t="s">
        <v>1405</v>
      </c>
    </row>
    <row r="902" spans="1:3" ht="13" x14ac:dyDescent="0.15">
      <c r="A902" s="4" t="str">
        <f t="shared" si="3"/>
        <v>Opw 902 Ik zie een troon staan in de hemel / Leeuw van Juda</v>
      </c>
      <c r="B902" s="4">
        <v>902</v>
      </c>
      <c r="C902" s="4" t="s">
        <v>1406</v>
      </c>
    </row>
    <row r="903" spans="1:3" ht="13" x14ac:dyDescent="0.15">
      <c r="A903" s="4" t="str">
        <f t="shared" si="3"/>
        <v>Opw 903 Ik ben een instrument voor uw aanbidding / Wie is er waardig</v>
      </c>
      <c r="B903" s="4">
        <v>903</v>
      </c>
      <c r="C903" s="4" t="s">
        <v>1407</v>
      </c>
    </row>
    <row r="904" spans="1:3" ht="13" x14ac:dyDescent="0.15">
      <c r="A904" s="4" t="str">
        <f t="shared" si="3"/>
        <v>Opw 904 De vreugde van mijn hart / Heilig heilig heilig</v>
      </c>
      <c r="B904" s="4">
        <v>904</v>
      </c>
      <c r="C904" s="4" t="s">
        <v>1408</v>
      </c>
    </row>
    <row r="905" spans="1:3" ht="13" x14ac:dyDescent="0.15">
      <c r="A905" s="4" t="str">
        <f t="shared" si="3"/>
        <v>Opw 905 Voor mijn adem, God /Blijf</v>
      </c>
      <c r="B905" s="4">
        <v>905</v>
      </c>
      <c r="C905" s="4" t="s">
        <v>1409</v>
      </c>
    </row>
    <row r="906" spans="1:3" ht="13" x14ac:dyDescent="0.15">
      <c r="A906" s="4" t="str">
        <f t="shared" si="3"/>
        <v>Opw 906 Niet langer ik, maar Christus leeft in mij / Ja, opnieuw</v>
      </c>
      <c r="B906" s="4">
        <v>906</v>
      </c>
      <c r="C906" s="4" t="s">
        <v>1410</v>
      </c>
    </row>
    <row r="907" spans="1:3" ht="13" x14ac:dyDescent="0.15">
      <c r="A907" s="4" t="str">
        <f t="shared" si="3"/>
        <v>Opw 907 Wij willen een kerk zijn die levend is / Vurig verlangen</v>
      </c>
      <c r="B907" s="4">
        <v>907</v>
      </c>
      <c r="C907" s="4" t="s">
        <v>1411</v>
      </c>
    </row>
    <row r="908" spans="1:3" ht="13" x14ac:dyDescent="0.15">
      <c r="A908" s="4" t="str">
        <f t="shared" si="3"/>
        <v>Opw 908 De Heere zegent jou / Halleluja amen</v>
      </c>
      <c r="B908" s="4">
        <v>908</v>
      </c>
      <c r="C908" s="4" t="s">
        <v>1412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62"/>
  <sheetViews>
    <sheetView tabSelected="1" workbookViewId="0"/>
  </sheetViews>
  <sheetFormatPr baseColWidth="10" defaultColWidth="12.6640625" defaultRowHeight="15.75" customHeight="1" x14ac:dyDescent="0.15"/>
  <cols>
    <col min="1" max="1" width="43.1640625" customWidth="1"/>
    <col min="2" max="2" width="68.6640625" customWidth="1"/>
  </cols>
  <sheetData>
    <row r="1" spans="1:26" ht="15.75" customHeight="1" x14ac:dyDescent="0.15">
      <c r="A1" s="1" t="s">
        <v>326</v>
      </c>
      <c r="B1" s="1" t="s">
        <v>327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4" t="str">
        <f t="shared" ref="A2:A62" si="0">CONCATENATE("TPP ", B2)</f>
        <v>TPP Ps. 142 - Ik Roep Tot U</v>
      </c>
      <c r="B2" s="5" t="s">
        <v>334</v>
      </c>
    </row>
    <row r="3" spans="1:26" x14ac:dyDescent="0.2">
      <c r="A3" s="4" t="str">
        <f t="shared" si="0"/>
        <v>TPP Ps. 32 - Als Nieuw Geboren</v>
      </c>
      <c r="B3" s="5" t="s">
        <v>339</v>
      </c>
    </row>
    <row r="4" spans="1:26" x14ac:dyDescent="0.2">
      <c r="A4" s="4" t="str">
        <f t="shared" si="0"/>
        <v>TPP Ps. 67 - Heer Zegen Ons</v>
      </c>
      <c r="B4" s="5" t="s">
        <v>343</v>
      </c>
    </row>
    <row r="5" spans="1:26" x14ac:dyDescent="0.2">
      <c r="A5" s="4" t="str">
        <f t="shared" si="0"/>
        <v>TPP Ps. 68 - God Van Heil</v>
      </c>
      <c r="B5" s="5" t="s">
        <v>345</v>
      </c>
    </row>
    <row r="6" spans="1:26" x14ac:dyDescent="0.2">
      <c r="A6" s="4" t="str">
        <f t="shared" si="0"/>
        <v>TPP Ps. 75 - U Loven Wij</v>
      </c>
      <c r="B6" s="5" t="s">
        <v>348</v>
      </c>
    </row>
    <row r="7" spans="1:26" x14ac:dyDescent="0.2">
      <c r="A7" s="4" t="str">
        <f t="shared" si="0"/>
        <v>TPP Ps. 85 - Goedheid En Trouw</v>
      </c>
      <c r="B7" s="5" t="s">
        <v>351</v>
      </c>
    </row>
    <row r="8" spans="1:26" x14ac:dyDescent="0.2">
      <c r="A8" s="4" t="str">
        <f t="shared" si="0"/>
        <v>TPP Ps. 27 - Wacht Op De Heer</v>
      </c>
      <c r="B8" s="5" t="s">
        <v>354</v>
      </c>
    </row>
    <row r="9" spans="1:26" x14ac:dyDescent="0.2">
      <c r="A9" s="4" t="str">
        <f t="shared" si="0"/>
        <v>TPP Ps. 91 - U Bent Mijn Schild</v>
      </c>
      <c r="B9" s="5" t="s">
        <v>356</v>
      </c>
    </row>
    <row r="10" spans="1:26" x14ac:dyDescent="0.2">
      <c r="A10" s="4" t="str">
        <f t="shared" si="0"/>
        <v>TPP Ps. 130 - Red Mij Heer</v>
      </c>
      <c r="B10" s="5" t="s">
        <v>359</v>
      </c>
    </row>
    <row r="11" spans="1:26" x14ac:dyDescent="0.2">
      <c r="A11" s="4" t="str">
        <f t="shared" si="0"/>
        <v>TPP Ps. 136 - Loof De Heer</v>
      </c>
      <c r="B11" s="5" t="s">
        <v>362</v>
      </c>
    </row>
    <row r="12" spans="1:26" ht="15.75" customHeight="1" x14ac:dyDescent="0.15">
      <c r="A12" s="4" t="str">
        <f t="shared" si="0"/>
        <v>TPP Ps. 100 - Hij Is Heer</v>
      </c>
      <c r="B12" s="4" t="s">
        <v>365</v>
      </c>
    </row>
    <row r="13" spans="1:26" ht="15.75" customHeight="1" x14ac:dyDescent="0.15">
      <c r="A13" s="4" t="str">
        <f t="shared" si="0"/>
        <v>TPP Ps. 146 - I will sing out</v>
      </c>
      <c r="B13" s="4" t="s">
        <v>368</v>
      </c>
    </row>
    <row r="14" spans="1:26" ht="15.75" customHeight="1" x14ac:dyDescent="0.15">
      <c r="A14" s="4" t="str">
        <f t="shared" si="0"/>
        <v>TPP Ps. 1 - Here I am</v>
      </c>
      <c r="B14" s="4" t="s">
        <v>370</v>
      </c>
    </row>
    <row r="15" spans="1:26" ht="15.75" customHeight="1" x14ac:dyDescent="0.15">
      <c r="A15" s="4" t="str">
        <f t="shared" si="0"/>
        <v>TPP Ps. 80 - Hear us oh God</v>
      </c>
      <c r="B15" s="4" t="s">
        <v>373</v>
      </c>
    </row>
    <row r="16" spans="1:26" ht="15.75" customHeight="1" x14ac:dyDescent="0.15">
      <c r="A16" s="4" t="str">
        <f t="shared" si="0"/>
        <v>TPP Ps. 23 - Green is the land</v>
      </c>
      <c r="B16" s="4" t="s">
        <v>376</v>
      </c>
    </row>
    <row r="17" spans="1:2" ht="15.75" customHeight="1" x14ac:dyDescent="0.15">
      <c r="A17" s="4" t="str">
        <f t="shared" si="0"/>
        <v>TPP Ps. 51 - Whiter than snow</v>
      </c>
      <c r="B17" s="4" t="s">
        <v>379</v>
      </c>
    </row>
    <row r="18" spans="1:2" ht="15.75" customHeight="1" x14ac:dyDescent="0.15">
      <c r="A18" s="4" t="str">
        <f t="shared" si="0"/>
        <v>TPP God of love and faithfulness</v>
      </c>
      <c r="B18" s="4" t="s">
        <v>382</v>
      </c>
    </row>
    <row r="19" spans="1:2" ht="15.75" customHeight="1" x14ac:dyDescent="0.15">
      <c r="A19" s="4" t="str">
        <f t="shared" si="0"/>
        <v>TPP Ps. 133 - How good it is</v>
      </c>
      <c r="B19" s="4" t="s">
        <v>384</v>
      </c>
    </row>
    <row r="20" spans="1:2" ht="15.75" customHeight="1" x14ac:dyDescent="0.15">
      <c r="A20" s="4" t="str">
        <f t="shared" si="0"/>
        <v>TPP Ps. 146 - Praise the Lord with joyful noises</v>
      </c>
      <c r="B20" s="4" t="s">
        <v>387</v>
      </c>
    </row>
    <row r="21" spans="1:2" ht="15.75" customHeight="1" x14ac:dyDescent="0.15">
      <c r="A21" s="4" t="str">
        <f t="shared" si="0"/>
        <v>TPP Ps. 96 - Great is our God</v>
      </c>
      <c r="B21" s="4" t="s">
        <v>389</v>
      </c>
    </row>
    <row r="22" spans="1:2" ht="15.75" customHeight="1" x14ac:dyDescent="0.15">
      <c r="A22" s="4" t="str">
        <f t="shared" si="0"/>
        <v>TPP Ps. 103 - Bless the Lord, my soul</v>
      </c>
      <c r="B22" s="4" t="s">
        <v>392</v>
      </c>
    </row>
    <row r="23" spans="1:2" ht="15.75" customHeight="1" x14ac:dyDescent="0.15">
      <c r="A23" s="4" t="str">
        <f t="shared" si="0"/>
        <v>TPP Ps. 146 - Hoop op Hem</v>
      </c>
      <c r="B23" s="4" t="s">
        <v>394</v>
      </c>
    </row>
    <row r="24" spans="1:2" ht="15.75" customHeight="1" x14ac:dyDescent="0.15">
      <c r="A24" s="4" t="str">
        <f t="shared" si="0"/>
        <v>TPP Ps. 80 - Bescherm ons Heer</v>
      </c>
      <c r="B24" s="4" t="s">
        <v>396</v>
      </c>
    </row>
    <row r="25" spans="1:2" ht="15.75" customHeight="1" x14ac:dyDescent="0.15">
      <c r="A25" s="4" t="str">
        <f t="shared" si="0"/>
        <v>TPP Ps. 23 - Groen is het land</v>
      </c>
      <c r="B25" s="4" t="s">
        <v>401</v>
      </c>
    </row>
    <row r="26" spans="1:2" ht="15.75" customHeight="1" x14ac:dyDescent="0.15">
      <c r="A26" s="4" t="str">
        <f t="shared" si="0"/>
        <v>TPP Ps. 51 - Witter dan sneeuw</v>
      </c>
      <c r="B26" s="4" t="s">
        <v>404</v>
      </c>
    </row>
    <row r="27" spans="1:2" ht="15.75" customHeight="1" x14ac:dyDescent="0.15">
      <c r="A27" s="4" t="str">
        <f t="shared" si="0"/>
        <v>TPP God van liefde, God van trouw</v>
      </c>
      <c r="B27" s="4" t="s">
        <v>406</v>
      </c>
    </row>
    <row r="28" spans="1:2" ht="15.75" customHeight="1" x14ac:dyDescent="0.15">
      <c r="A28" s="4" t="str">
        <f t="shared" si="0"/>
        <v>TPP Ps. 133 - Daar is het leven goed</v>
      </c>
      <c r="B28" s="4" t="s">
        <v>408</v>
      </c>
    </row>
    <row r="29" spans="1:2" ht="15.75" customHeight="1" x14ac:dyDescent="0.15">
      <c r="A29" s="4" t="str">
        <f t="shared" si="0"/>
        <v>TPP Ps. 146 - Prijs de Heer met blijde galmen</v>
      </c>
      <c r="B29" s="4" t="s">
        <v>411</v>
      </c>
    </row>
    <row r="30" spans="1:2" ht="15.75" customHeight="1" x14ac:dyDescent="0.15">
      <c r="A30" s="4" t="str">
        <f t="shared" si="0"/>
        <v>TPP Ps. 93 - Uw macht is groot</v>
      </c>
      <c r="B30" s="4" t="s">
        <v>414</v>
      </c>
    </row>
    <row r="31" spans="1:2" ht="15.75" customHeight="1" x14ac:dyDescent="0.15">
      <c r="A31" s="4" t="str">
        <f t="shared" si="0"/>
        <v>TPP Ps. 96 - Zing voor de Heer</v>
      </c>
      <c r="B31" s="4" t="s">
        <v>416</v>
      </c>
    </row>
    <row r="32" spans="1:2" ht="15.75" customHeight="1" x14ac:dyDescent="0.15">
      <c r="A32" s="4" t="str">
        <f t="shared" si="0"/>
        <v>TPP Ps. 143 - Heel mijn ziel verlangt naar U</v>
      </c>
      <c r="B32" s="4" t="s">
        <v>418</v>
      </c>
    </row>
    <row r="33" spans="1:2" ht="15.75" customHeight="1" x14ac:dyDescent="0.15">
      <c r="A33" s="4" t="str">
        <f t="shared" si="0"/>
        <v>TPP Ps. 113 - Wie is als onze God</v>
      </c>
      <c r="B33" s="4" t="s">
        <v>419</v>
      </c>
    </row>
    <row r="34" spans="1:2" ht="15.75" customHeight="1" x14ac:dyDescent="0.15">
      <c r="A34" s="4" t="str">
        <f t="shared" si="0"/>
        <v>TPP Ps. 103 - Loof de Heer mijn ziel</v>
      </c>
      <c r="B34" s="4" t="s">
        <v>421</v>
      </c>
    </row>
    <row r="35" spans="1:2" ht="15.75" customHeight="1" x14ac:dyDescent="0.15">
      <c r="A35" s="4" t="str">
        <f t="shared" si="0"/>
        <v>TPP Ps. 25 - Gebed</v>
      </c>
      <c r="B35" s="4" t="s">
        <v>424</v>
      </c>
    </row>
    <row r="36" spans="1:2" ht="15.75" customHeight="1" x14ac:dyDescent="0.15">
      <c r="A36" s="4" t="str">
        <f t="shared" si="0"/>
        <v>TPP Ps. 139 - Heer die mij ziet zoals ik ben</v>
      </c>
      <c r="B36" s="4" t="s">
        <v>426</v>
      </c>
    </row>
    <row r="37" spans="1:2" ht="15.75" customHeight="1" x14ac:dyDescent="0.15">
      <c r="A37" s="4" t="str">
        <f t="shared" si="0"/>
        <v>TPP Ps. 138 - U loof ik Heer</v>
      </c>
      <c r="B37" s="4" t="s">
        <v>433</v>
      </c>
    </row>
    <row r="38" spans="1:2" ht="15.75" customHeight="1" x14ac:dyDescent="0.15">
      <c r="A38" s="4" t="str">
        <f t="shared" si="0"/>
        <v>TPP Ps. 116 - Feestzang</v>
      </c>
      <c r="B38" s="4" t="s">
        <v>436</v>
      </c>
    </row>
    <row r="39" spans="1:2" ht="15.75" customHeight="1" x14ac:dyDescent="0.15">
      <c r="A39" s="4" t="str">
        <f t="shared" si="0"/>
        <v>TPP Ps. 134 - Zegenbede</v>
      </c>
      <c r="B39" s="4" t="s">
        <v>441</v>
      </c>
    </row>
    <row r="40" spans="1:2" ht="15.75" customHeight="1" x14ac:dyDescent="0.15">
      <c r="A40" s="4" t="str">
        <f t="shared" si="0"/>
        <v>TPP Ps. 62 - Mijn ziel is stil tot God</v>
      </c>
      <c r="B40" s="4" t="s">
        <v>444</v>
      </c>
    </row>
    <row r="41" spans="1:2" ht="15.75" customHeight="1" x14ac:dyDescent="0.15">
      <c r="A41" s="4" t="str">
        <f t="shared" si="0"/>
        <v>TPP Ps. 42 - Mijn ziel verlangt naar U</v>
      </c>
      <c r="B41" s="4" t="s">
        <v>446</v>
      </c>
    </row>
    <row r="42" spans="1:2" ht="15.75" customHeight="1" x14ac:dyDescent="0.15">
      <c r="A42" s="4" t="str">
        <f t="shared" si="0"/>
        <v>TPP Ps. 119 - Met al mijn kracht</v>
      </c>
      <c r="B42" s="4" t="s">
        <v>449</v>
      </c>
    </row>
    <row r="43" spans="1:2" ht="15.75" customHeight="1" x14ac:dyDescent="0.15">
      <c r="A43" s="4" t="str">
        <f t="shared" si="0"/>
        <v>TPP Ps. 84 - Pelgrimslied</v>
      </c>
      <c r="B43" s="4" t="s">
        <v>452</v>
      </c>
    </row>
    <row r="44" spans="1:2" ht="15.75" customHeight="1" x14ac:dyDescent="0.15">
      <c r="A44" s="4" t="str">
        <f t="shared" si="0"/>
        <v>TPP Ps. 86 - Gebed om hulp</v>
      </c>
      <c r="B44" s="4" t="s">
        <v>454</v>
      </c>
    </row>
    <row r="45" spans="1:2" ht="15.75" customHeight="1" x14ac:dyDescent="0.15">
      <c r="A45" s="4" t="str">
        <f t="shared" si="0"/>
        <v>TPP Ps. 149 - Israëls triomflied</v>
      </c>
      <c r="B45" s="4" t="s">
        <v>456</v>
      </c>
    </row>
    <row r="46" spans="1:2" ht="15.75" customHeight="1" x14ac:dyDescent="0.15">
      <c r="A46" s="4" t="str">
        <f t="shared" si="0"/>
        <v>TPP Ps. 22 - Mijn God, Waarom?</v>
      </c>
      <c r="B46" s="4" t="s">
        <v>457</v>
      </c>
    </row>
    <row r="47" spans="1:2" ht="15.75" customHeight="1" x14ac:dyDescent="0.15">
      <c r="A47" s="4" t="str">
        <f t="shared" si="0"/>
        <v>TPP Ps. 62 - Mijn Ziel Is Stil Tot God</v>
      </c>
      <c r="B47" s="4" t="s">
        <v>459</v>
      </c>
    </row>
    <row r="48" spans="1:2" ht="15.75" customHeight="1" x14ac:dyDescent="0.15">
      <c r="A48" s="4" t="str">
        <f t="shared" si="0"/>
        <v>TPP Ps. 72 - Gebed Voor De Koning</v>
      </c>
      <c r="B48" s="4" t="s">
        <v>461</v>
      </c>
    </row>
    <row r="49" spans="1:2" ht="15.75" customHeight="1" x14ac:dyDescent="0.15">
      <c r="A49" s="4" t="str">
        <f t="shared" si="0"/>
        <v>TPP Ps. 86 - Gebed Om Hulp</v>
      </c>
      <c r="B49" s="4" t="s">
        <v>464</v>
      </c>
    </row>
    <row r="50" spans="1:2" ht="15.75" customHeight="1" x14ac:dyDescent="0.15">
      <c r="A50" s="4" t="str">
        <f t="shared" si="0"/>
        <v>TPP Ps. 116 - God Heb Ik Lief</v>
      </c>
      <c r="B50" s="4" t="s">
        <v>467</v>
      </c>
    </row>
    <row r="51" spans="1:2" ht="15.75" customHeight="1" x14ac:dyDescent="0.15">
      <c r="A51" s="4" t="str">
        <f t="shared" si="0"/>
        <v>TPP Ps. 119 - Met Al Mijn Kracht</v>
      </c>
      <c r="B51" s="4" t="s">
        <v>470</v>
      </c>
    </row>
    <row r="52" spans="1:2" ht="15.75" customHeight="1" x14ac:dyDescent="0.15">
      <c r="A52" s="4" t="str">
        <f t="shared" si="0"/>
        <v>TPP Ps. 121 - Waar Komt Mijn Hulp Vandaan?</v>
      </c>
      <c r="B52" s="4" t="s">
        <v>473</v>
      </c>
    </row>
    <row r="53" spans="1:2" ht="15.75" customHeight="1" x14ac:dyDescent="0.15">
      <c r="A53" s="4" t="str">
        <f t="shared" si="0"/>
        <v>TPP Ps. 139 - Heer Die Mij Ziet Zoals Ik Ben</v>
      </c>
      <c r="B53" s="4" t="s">
        <v>476</v>
      </c>
    </row>
    <row r="54" spans="1:2" ht="15.75" customHeight="1" x14ac:dyDescent="0.15">
      <c r="A54" s="4" t="str">
        <f t="shared" si="0"/>
        <v>TPP Ps. 118 - Feestzang</v>
      </c>
      <c r="B54" s="4" t="s">
        <v>478</v>
      </c>
    </row>
    <row r="55" spans="1:2" ht="13" x14ac:dyDescent="0.15">
      <c r="A55" s="4" t="str">
        <f t="shared" si="0"/>
        <v>TPP Ps. 150 - Halleluja!</v>
      </c>
      <c r="B55" s="4" t="s">
        <v>481</v>
      </c>
    </row>
    <row r="56" spans="1:2" ht="13" x14ac:dyDescent="0.15">
      <c r="A56" s="4" t="str">
        <f t="shared" si="0"/>
        <v>TPP Ps. 25 - Lord, to You my soul is lifted</v>
      </c>
      <c r="B56" s="4" t="s">
        <v>485</v>
      </c>
    </row>
    <row r="57" spans="1:2" ht="13" x14ac:dyDescent="0.15">
      <c r="A57" s="4" t="str">
        <f t="shared" si="0"/>
        <v>TPP Ps. 72 - Prayer for the King</v>
      </c>
      <c r="B57" s="4" t="s">
        <v>487</v>
      </c>
    </row>
    <row r="58" spans="1:2" ht="13" x14ac:dyDescent="0.15">
      <c r="A58" s="4" t="str">
        <f t="shared" si="0"/>
        <v>TPP Ps. 86 - Teach me Lord</v>
      </c>
      <c r="B58" s="4" t="s">
        <v>489</v>
      </c>
    </row>
    <row r="59" spans="1:2" ht="13" x14ac:dyDescent="0.15">
      <c r="A59" s="4" t="str">
        <f t="shared" si="0"/>
        <v>TPP Ps. 119 - Happy are those</v>
      </c>
      <c r="B59" s="4" t="s">
        <v>491</v>
      </c>
    </row>
    <row r="60" spans="1:2" ht="13" x14ac:dyDescent="0.15">
      <c r="A60" s="4" t="str">
        <f t="shared" si="0"/>
        <v>TPP Ps. 121 - My help comes from the Lord</v>
      </c>
      <c r="B60" s="4" t="s">
        <v>494</v>
      </c>
    </row>
    <row r="61" spans="1:2" ht="13" x14ac:dyDescent="0.15">
      <c r="A61" s="4" t="str">
        <f t="shared" si="0"/>
        <v>TPP Ps. 134 - You servants of the Lord our God</v>
      </c>
      <c r="B61" s="4" t="s">
        <v>496</v>
      </c>
    </row>
    <row r="62" spans="1:2" ht="13" x14ac:dyDescent="0.15">
      <c r="A62" s="4" t="str">
        <f t="shared" si="0"/>
        <v>TPP Ps. 150 - Praise the Lord</v>
      </c>
      <c r="B62" s="4" t="s">
        <v>498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33"/>
  <sheetViews>
    <sheetView workbookViewId="0"/>
  </sheetViews>
  <sheetFormatPr baseColWidth="10" defaultColWidth="12.6640625" defaultRowHeight="15.75" customHeight="1" x14ac:dyDescent="0.15"/>
  <cols>
    <col min="1" max="1" width="40.5" customWidth="1"/>
    <col min="2" max="2" width="40.83203125" customWidth="1"/>
  </cols>
  <sheetData>
    <row r="1" spans="1:2" ht="15.75" customHeight="1" x14ac:dyDescent="0.15">
      <c r="A1" s="4" t="s">
        <v>326</v>
      </c>
      <c r="B1" s="4" t="s">
        <v>743</v>
      </c>
    </row>
    <row r="2" spans="1:2" ht="15.75" customHeight="1" x14ac:dyDescent="0.15">
      <c r="A2" s="4" t="str">
        <f t="shared" ref="A2:A33" si="0">CONCATENATE("SvG ", B2)</f>
        <v>SvG Dan bent U met ons</v>
      </c>
      <c r="B2" s="4" t="s">
        <v>753</v>
      </c>
    </row>
    <row r="3" spans="1:2" ht="15.75" customHeight="1" x14ac:dyDescent="0.15">
      <c r="A3" s="4" t="str">
        <f t="shared" si="0"/>
        <v>SvG Breng ons in evenwicht</v>
      </c>
      <c r="B3" s="4" t="s">
        <v>755</v>
      </c>
    </row>
    <row r="4" spans="1:2" ht="15.75" customHeight="1" x14ac:dyDescent="0.15">
      <c r="A4" s="4" t="str">
        <f t="shared" si="0"/>
        <v>SvG Licht Aan</v>
      </c>
      <c r="B4" s="4" t="s">
        <v>758</v>
      </c>
    </row>
    <row r="5" spans="1:2" ht="15.75" customHeight="1" x14ac:dyDescent="0.15">
      <c r="A5" s="4" t="str">
        <f t="shared" si="0"/>
        <v>SvG Met Open Armen</v>
      </c>
      <c r="B5" s="4" t="s">
        <v>759</v>
      </c>
    </row>
    <row r="6" spans="1:2" ht="15.75" customHeight="1" x14ac:dyDescent="0.15">
      <c r="A6" s="4" t="str">
        <f t="shared" si="0"/>
        <v>SvG God van de aarde</v>
      </c>
      <c r="B6" s="4" t="s">
        <v>761</v>
      </c>
    </row>
    <row r="7" spans="1:2" ht="15.75" customHeight="1" x14ac:dyDescent="0.15">
      <c r="A7" s="4" t="str">
        <f t="shared" si="0"/>
        <v>SvG Wat Gaan We Nu Doen</v>
      </c>
      <c r="B7" s="4" t="s">
        <v>762</v>
      </c>
    </row>
    <row r="8" spans="1:2" ht="15.75" customHeight="1" x14ac:dyDescent="0.15">
      <c r="A8" s="4" t="str">
        <f t="shared" si="0"/>
        <v>SvG Wat hebben we gedaan</v>
      </c>
      <c r="B8" s="4" t="s">
        <v>764</v>
      </c>
    </row>
    <row r="9" spans="1:2" ht="15.75" customHeight="1" x14ac:dyDescent="0.15">
      <c r="A9" s="4" t="str">
        <f t="shared" si="0"/>
        <v>SvG Maak Ons Hart Onrustig</v>
      </c>
      <c r="B9" s="4" t="s">
        <v>766</v>
      </c>
    </row>
    <row r="10" spans="1:2" ht="15.75" customHeight="1" x14ac:dyDescent="0.15">
      <c r="A10" s="4" t="str">
        <f t="shared" si="0"/>
        <v>SvG Ontvang de zegen</v>
      </c>
      <c r="B10" s="4" t="s">
        <v>768</v>
      </c>
    </row>
    <row r="11" spans="1:2" ht="15.75" customHeight="1" x14ac:dyDescent="0.15">
      <c r="A11" s="4" t="str">
        <f t="shared" si="0"/>
        <v>SvG Kijken met uw ogen</v>
      </c>
      <c r="B11" s="4" t="s">
        <v>769</v>
      </c>
    </row>
    <row r="12" spans="1:2" ht="15.75" customHeight="1" x14ac:dyDescent="0.15">
      <c r="A12" s="4" t="str">
        <f t="shared" si="0"/>
        <v>SvG Miljoenen stemmen</v>
      </c>
      <c r="B12" s="4" t="s">
        <v>770</v>
      </c>
    </row>
    <row r="13" spans="1:2" ht="15.75" customHeight="1" x14ac:dyDescent="0.15">
      <c r="A13" s="4" t="str">
        <f t="shared" si="0"/>
        <v>SvG Handen van God</v>
      </c>
      <c r="B13" s="4" t="s">
        <v>771</v>
      </c>
    </row>
    <row r="14" spans="1:2" ht="15.75" customHeight="1" x14ac:dyDescent="0.15">
      <c r="A14" s="4" t="str">
        <f t="shared" si="0"/>
        <v>SvG De zevende dag</v>
      </c>
      <c r="B14" s="4" t="s">
        <v>772</v>
      </c>
    </row>
    <row r="15" spans="1:2" ht="15.75" customHeight="1" x14ac:dyDescent="0.15">
      <c r="A15" s="4" t="str">
        <f t="shared" si="0"/>
        <v>SvG Eindelijk weer kind</v>
      </c>
      <c r="B15" s="4" t="s">
        <v>773</v>
      </c>
    </row>
    <row r="16" spans="1:2" ht="15.75" customHeight="1" x14ac:dyDescent="0.15">
      <c r="A16" s="4" t="str">
        <f t="shared" si="0"/>
        <v>SvG Hoelang nog, Heer</v>
      </c>
      <c r="B16" s="4" t="s">
        <v>774</v>
      </c>
    </row>
    <row r="17" spans="1:2" ht="15.75" customHeight="1" x14ac:dyDescent="0.15">
      <c r="A17" s="4" t="str">
        <f t="shared" si="0"/>
        <v>SvG Wanneer uw regen valt</v>
      </c>
      <c r="B17" s="4" t="s">
        <v>775</v>
      </c>
    </row>
    <row r="18" spans="1:2" ht="15.75" customHeight="1" x14ac:dyDescent="0.15">
      <c r="A18" s="4" t="str">
        <f t="shared" si="0"/>
        <v>SvG Elke dag uw zegen mee</v>
      </c>
      <c r="B18" s="4" t="s">
        <v>776</v>
      </c>
    </row>
    <row r="19" spans="1:2" ht="15.75" customHeight="1" x14ac:dyDescent="0.15">
      <c r="A19" s="4" t="str">
        <f t="shared" si="0"/>
        <v>SvG Laat ons kijken naar de aarde</v>
      </c>
      <c r="B19" s="4" t="s">
        <v>777</v>
      </c>
    </row>
    <row r="20" spans="1:2" ht="15.75" customHeight="1" x14ac:dyDescent="0.15">
      <c r="A20" s="4" t="str">
        <f t="shared" si="0"/>
        <v>SvG Weinig Is Veel</v>
      </c>
      <c r="B20" s="4" t="s">
        <v>778</v>
      </c>
    </row>
    <row r="21" spans="1:2" ht="15.75" customHeight="1" x14ac:dyDescent="0.15">
      <c r="A21" s="4" t="str">
        <f t="shared" si="0"/>
        <v>SvG Heer, Vergeef Ons</v>
      </c>
      <c r="B21" s="4" t="s">
        <v>780</v>
      </c>
    </row>
    <row r="22" spans="1:2" ht="15.75" customHeight="1" x14ac:dyDescent="0.15">
      <c r="A22" s="4" t="str">
        <f t="shared" si="0"/>
        <v>SvG God Woont Bij De Mensen</v>
      </c>
      <c r="B22" s="4" t="s">
        <v>781</v>
      </c>
    </row>
    <row r="23" spans="1:2" ht="15.75" customHeight="1" x14ac:dyDescent="0.15">
      <c r="A23" s="4" t="str">
        <f t="shared" si="0"/>
        <v>SvG Heer ontferm U</v>
      </c>
      <c r="B23" s="4" t="s">
        <v>782</v>
      </c>
    </row>
    <row r="24" spans="1:2" ht="15.75" customHeight="1" x14ac:dyDescent="0.15">
      <c r="A24" s="4" t="str">
        <f t="shared" si="0"/>
        <v>SvG God met ons</v>
      </c>
      <c r="B24" s="4" t="s">
        <v>784</v>
      </c>
    </row>
    <row r="25" spans="1:2" ht="15.75" customHeight="1" x14ac:dyDescent="0.15">
      <c r="A25" s="4" t="str">
        <f t="shared" si="0"/>
        <v>SvG Wat een kunstenaar</v>
      </c>
      <c r="B25" s="4" t="s">
        <v>785</v>
      </c>
    </row>
    <row r="26" spans="1:2" ht="15.75" customHeight="1" x14ac:dyDescent="0.15">
      <c r="A26" s="4" t="str">
        <f t="shared" si="0"/>
        <v>SvG Hemel Dichterbij</v>
      </c>
      <c r="B26" s="4" t="s">
        <v>787</v>
      </c>
    </row>
    <row r="27" spans="1:2" ht="15.75" customHeight="1" x14ac:dyDescent="0.15">
      <c r="A27" s="4" t="str">
        <f t="shared" si="0"/>
        <v>SvG Zeeën van recht</v>
      </c>
      <c r="B27" s="4" t="s">
        <v>788</v>
      </c>
    </row>
    <row r="28" spans="1:2" ht="15.75" customHeight="1" x14ac:dyDescent="0.15">
      <c r="A28" s="4" t="str">
        <f t="shared" si="0"/>
        <v>SvG Schepper God</v>
      </c>
      <c r="B28" s="4" t="s">
        <v>790</v>
      </c>
    </row>
    <row r="29" spans="1:2" ht="15.75" customHeight="1" x14ac:dyDescent="0.15">
      <c r="A29" s="4" t="str">
        <f t="shared" si="0"/>
        <v>SvG Maak ons een zegen voor uw schepping</v>
      </c>
      <c r="B29" s="4" t="s">
        <v>792</v>
      </c>
    </row>
    <row r="30" spans="1:2" ht="15.75" customHeight="1" x14ac:dyDescent="0.15">
      <c r="A30" s="4" t="str">
        <f t="shared" si="0"/>
        <v>SvG Thuis Bij Hem</v>
      </c>
      <c r="B30" s="4" t="s">
        <v>793</v>
      </c>
    </row>
    <row r="31" spans="1:2" ht="15.75" customHeight="1" x14ac:dyDescent="0.15">
      <c r="A31" s="4" t="str">
        <f t="shared" si="0"/>
        <v>SvG Lieve God</v>
      </c>
      <c r="B31" s="4" t="s">
        <v>795</v>
      </c>
    </row>
    <row r="32" spans="1:2" ht="15.75" customHeight="1" x14ac:dyDescent="0.15">
      <c r="A32" s="4" t="str">
        <f t="shared" si="0"/>
        <v>SvG Zo Eerlijk Als God</v>
      </c>
      <c r="B32" s="4" t="s">
        <v>796</v>
      </c>
    </row>
    <row r="33" spans="1:2" ht="15.75" customHeight="1" x14ac:dyDescent="0.15">
      <c r="A33" s="4" t="str">
        <f t="shared" si="0"/>
        <v>SvG Maak ons nuttig</v>
      </c>
      <c r="B33" s="4" t="s">
        <v>798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K84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2.6640625" defaultRowHeight="15.75" customHeight="1" x14ac:dyDescent="0.15"/>
  <cols>
    <col min="1" max="1" width="27" customWidth="1"/>
    <col min="2" max="3" width="34.1640625" customWidth="1"/>
    <col min="4" max="16" width="3.6640625" customWidth="1"/>
  </cols>
  <sheetData>
    <row r="1" spans="1:37" ht="15.75" customHeight="1" x14ac:dyDescent="0.15">
      <c r="A1" s="7" t="s">
        <v>1</v>
      </c>
      <c r="B1" s="7"/>
      <c r="C1" s="7"/>
      <c r="D1" s="8">
        <v>44867</v>
      </c>
      <c r="E1" s="8">
        <v>44871</v>
      </c>
      <c r="F1" s="8">
        <v>44878</v>
      </c>
      <c r="G1" s="8">
        <v>44885</v>
      </c>
      <c r="H1" s="8">
        <v>44892</v>
      </c>
      <c r="I1" s="8">
        <v>44899</v>
      </c>
      <c r="J1" s="8">
        <v>44906</v>
      </c>
      <c r="K1" s="8">
        <v>44913</v>
      </c>
      <c r="L1" s="8">
        <v>44920</v>
      </c>
      <c r="M1" s="8">
        <v>44927</v>
      </c>
      <c r="N1" s="8">
        <v>44934</v>
      </c>
      <c r="O1" s="8">
        <v>44941</v>
      </c>
      <c r="P1" s="8">
        <v>44948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5.75" customHeight="1" x14ac:dyDescent="0.15">
      <c r="A2" s="4" t="s">
        <v>954</v>
      </c>
      <c r="B2" s="4"/>
      <c r="C2" s="4" t="s">
        <v>955</v>
      </c>
      <c r="D2" s="4" t="s">
        <v>957</v>
      </c>
      <c r="E2" s="4"/>
      <c r="F2" s="4"/>
      <c r="G2" s="4"/>
      <c r="H2" s="4"/>
      <c r="I2" s="4"/>
      <c r="J2" s="4" t="s">
        <v>958</v>
      </c>
      <c r="K2" s="4" t="s">
        <v>960</v>
      </c>
      <c r="L2" s="4" t="s">
        <v>961</v>
      </c>
      <c r="M2" s="4" t="s">
        <v>962</v>
      </c>
      <c r="N2" s="4" t="s">
        <v>963</v>
      </c>
      <c r="O2" s="4" t="s">
        <v>964</v>
      </c>
      <c r="P2" s="4" t="s">
        <v>964</v>
      </c>
    </row>
    <row r="3" spans="1:37" ht="15.75" customHeight="1" x14ac:dyDescent="0.15">
      <c r="A3" s="4" t="s">
        <v>967</v>
      </c>
      <c r="D3" s="4"/>
      <c r="E3" s="4"/>
      <c r="F3" s="4"/>
      <c r="G3" s="4"/>
      <c r="H3" s="4"/>
      <c r="I3" s="4"/>
      <c r="J3" s="4"/>
      <c r="K3" s="4">
        <v>1</v>
      </c>
    </row>
    <row r="4" spans="1:37" ht="15.75" customHeight="1" x14ac:dyDescent="0.15">
      <c r="A4" s="4" t="s">
        <v>969</v>
      </c>
      <c r="B4" s="4"/>
      <c r="C4" s="4" t="s">
        <v>971</v>
      </c>
      <c r="D4" s="4"/>
      <c r="E4" s="4"/>
      <c r="F4" s="4"/>
      <c r="G4" s="4"/>
      <c r="H4" s="4"/>
      <c r="I4" s="4"/>
      <c r="J4" s="4"/>
      <c r="K4" s="4"/>
      <c r="L4" s="4"/>
      <c r="M4" s="4"/>
      <c r="N4" s="4">
        <v>1</v>
      </c>
    </row>
    <row r="5" spans="1:37" ht="15.75" customHeight="1" x14ac:dyDescent="0.15">
      <c r="A5" s="4" t="s">
        <v>974</v>
      </c>
      <c r="D5" s="4"/>
      <c r="E5" s="4"/>
      <c r="F5" s="4"/>
      <c r="G5" s="4"/>
      <c r="H5" s="4"/>
      <c r="I5" s="4"/>
      <c r="J5" s="4"/>
      <c r="K5" s="4"/>
      <c r="L5" s="4"/>
      <c r="M5" s="4">
        <v>1</v>
      </c>
    </row>
    <row r="6" spans="1:37" ht="15.75" customHeight="1" x14ac:dyDescent="0.15">
      <c r="A6" s="4" t="s">
        <v>976</v>
      </c>
      <c r="H6" s="4">
        <v>1</v>
      </c>
    </row>
    <row r="7" spans="1:37" ht="15.75" customHeight="1" x14ac:dyDescent="0.15">
      <c r="A7" s="4" t="s">
        <v>977</v>
      </c>
      <c r="B7" s="4"/>
      <c r="C7" s="4" t="s">
        <v>100</v>
      </c>
      <c r="D7" s="4"/>
      <c r="E7" s="4"/>
      <c r="F7" s="4"/>
      <c r="G7" s="4"/>
      <c r="H7" s="4"/>
      <c r="I7" s="4"/>
      <c r="J7" s="4"/>
      <c r="K7" s="4"/>
      <c r="L7" s="4">
        <v>1</v>
      </c>
    </row>
    <row r="8" spans="1:37" ht="15.75" customHeight="1" x14ac:dyDescent="0.15">
      <c r="A8" s="4" t="s">
        <v>978</v>
      </c>
      <c r="D8" s="4"/>
      <c r="E8" s="4"/>
      <c r="F8" s="4"/>
      <c r="G8" s="4"/>
      <c r="H8" s="4"/>
      <c r="I8" s="4"/>
      <c r="J8" s="4"/>
      <c r="K8" s="4"/>
      <c r="L8" s="4"/>
      <c r="M8" s="4">
        <v>1</v>
      </c>
    </row>
    <row r="9" spans="1:37" ht="15.75" customHeight="1" x14ac:dyDescent="0.15">
      <c r="A9" s="4" t="s">
        <v>979</v>
      </c>
      <c r="F9" s="4">
        <v>1</v>
      </c>
    </row>
    <row r="10" spans="1:37" ht="15.75" customHeight="1" x14ac:dyDescent="0.15">
      <c r="A10" s="4" t="s">
        <v>981</v>
      </c>
      <c r="B10" s="4"/>
      <c r="C10" s="4" t="s">
        <v>983</v>
      </c>
      <c r="O10" s="4">
        <v>1</v>
      </c>
    </row>
    <row r="11" spans="1:37" ht="15.75" customHeight="1" x14ac:dyDescent="0.15">
      <c r="A11" s="4" t="s">
        <v>985</v>
      </c>
      <c r="G11" s="4">
        <v>1</v>
      </c>
    </row>
    <row r="12" spans="1:37" ht="15.75" customHeight="1" x14ac:dyDescent="0.15">
      <c r="A12" s="4" t="s">
        <v>987</v>
      </c>
      <c r="B12" s="4"/>
      <c r="C12" s="4" t="s">
        <v>988</v>
      </c>
      <c r="O12" s="4">
        <v>1</v>
      </c>
    </row>
    <row r="13" spans="1:37" ht="15.75" customHeight="1" x14ac:dyDescent="0.15">
      <c r="A13" s="4" t="s">
        <v>990</v>
      </c>
      <c r="B13" s="4"/>
      <c r="C13" s="4" t="s">
        <v>634</v>
      </c>
      <c r="O13" s="4">
        <v>1</v>
      </c>
    </row>
    <row r="14" spans="1:37" ht="15.75" customHeight="1" x14ac:dyDescent="0.15">
      <c r="A14" s="4" t="s">
        <v>992</v>
      </c>
      <c r="B14" s="4"/>
      <c r="C14" s="4" t="s">
        <v>994</v>
      </c>
      <c r="D14" s="4"/>
      <c r="E14" s="4"/>
      <c r="F14" s="4"/>
      <c r="G14" s="4"/>
      <c r="H14" s="4"/>
      <c r="I14" s="4"/>
      <c r="J14" s="4"/>
      <c r="K14" s="4"/>
      <c r="L14" s="4"/>
      <c r="M14" s="4">
        <v>1</v>
      </c>
    </row>
    <row r="15" spans="1:37" ht="15.75" customHeight="1" x14ac:dyDescent="0.15">
      <c r="A15" s="4" t="s">
        <v>997</v>
      </c>
      <c r="F15" s="4">
        <v>1</v>
      </c>
    </row>
    <row r="16" spans="1:37" ht="15.75" customHeight="1" x14ac:dyDescent="0.15">
      <c r="A16" s="4" t="s">
        <v>999</v>
      </c>
      <c r="D16" s="4"/>
      <c r="E16" s="4"/>
      <c r="F16" s="4"/>
      <c r="G16" s="4"/>
      <c r="H16" s="4"/>
      <c r="I16" s="4"/>
      <c r="J16" s="4"/>
      <c r="K16" s="4"/>
      <c r="L16" s="4"/>
      <c r="M16" s="4">
        <v>1</v>
      </c>
    </row>
    <row r="17" spans="1:15" ht="15.75" customHeight="1" x14ac:dyDescent="0.15">
      <c r="A17" s="4" t="s">
        <v>999</v>
      </c>
      <c r="F17" s="4">
        <v>1</v>
      </c>
    </row>
    <row r="18" spans="1:15" ht="15.75" customHeight="1" x14ac:dyDescent="0.15">
      <c r="A18" s="4" t="s">
        <v>1002</v>
      </c>
      <c r="D18" s="4"/>
      <c r="E18" s="4"/>
      <c r="F18" s="4"/>
      <c r="G18" s="4"/>
      <c r="H18" s="4"/>
      <c r="I18" s="4"/>
      <c r="J18" s="4"/>
      <c r="K18" s="4">
        <v>1</v>
      </c>
    </row>
    <row r="19" spans="1:15" ht="15.75" customHeight="1" x14ac:dyDescent="0.15">
      <c r="A19" s="4" t="s">
        <v>1005</v>
      </c>
      <c r="H19" s="4">
        <v>1</v>
      </c>
    </row>
    <row r="20" spans="1:15" ht="15.75" customHeight="1" x14ac:dyDescent="0.15">
      <c r="A20" s="4" t="s">
        <v>1007</v>
      </c>
      <c r="D20" s="4"/>
      <c r="E20" s="4"/>
      <c r="F20" s="4"/>
      <c r="G20" s="4"/>
      <c r="H20" s="4"/>
      <c r="I20" s="4"/>
      <c r="J20" s="4"/>
      <c r="K20" s="4">
        <v>1</v>
      </c>
    </row>
    <row r="21" spans="1:15" ht="15.75" customHeight="1" x14ac:dyDescent="0.15">
      <c r="A21" s="4" t="s">
        <v>1010</v>
      </c>
      <c r="D21" s="4"/>
      <c r="E21" s="4">
        <v>1</v>
      </c>
    </row>
    <row r="22" spans="1:15" ht="15.75" customHeight="1" x14ac:dyDescent="0.15">
      <c r="A22" s="4" t="s">
        <v>1012</v>
      </c>
      <c r="D22" s="4"/>
      <c r="E22" s="4">
        <v>1</v>
      </c>
    </row>
    <row r="23" spans="1:15" ht="15.75" customHeight="1" x14ac:dyDescent="0.15">
      <c r="A23" s="4" t="s">
        <v>1012</v>
      </c>
      <c r="D23" s="4">
        <v>1</v>
      </c>
    </row>
    <row r="24" spans="1:15" ht="15.75" customHeight="1" x14ac:dyDescent="0.15">
      <c r="A24" s="4" t="s">
        <v>1016</v>
      </c>
      <c r="D24" s="4"/>
      <c r="E24" s="4"/>
      <c r="F24" s="4"/>
      <c r="G24" s="4"/>
      <c r="H24" s="4"/>
      <c r="I24" s="4"/>
      <c r="J24" s="4"/>
      <c r="K24" s="4"/>
      <c r="L24" s="4"/>
      <c r="M24" s="4">
        <v>1</v>
      </c>
    </row>
    <row r="25" spans="1:15" ht="15.75" customHeight="1" x14ac:dyDescent="0.15">
      <c r="A25" s="4" t="s">
        <v>1019</v>
      </c>
      <c r="D25" s="4">
        <v>1</v>
      </c>
    </row>
    <row r="26" spans="1:15" ht="15.75" customHeight="1" x14ac:dyDescent="0.15">
      <c r="A26" s="4" t="s">
        <v>1020</v>
      </c>
      <c r="G26" s="4">
        <v>1</v>
      </c>
    </row>
    <row r="27" spans="1:15" ht="15.75" customHeight="1" x14ac:dyDescent="0.15">
      <c r="A27" s="4" t="s">
        <v>1027</v>
      </c>
      <c r="D27" s="4"/>
      <c r="E27" s="4"/>
      <c r="F27" s="4"/>
      <c r="G27" s="4"/>
      <c r="H27" s="4"/>
      <c r="I27" s="4"/>
      <c r="J27" s="4"/>
      <c r="K27" s="4">
        <v>1</v>
      </c>
    </row>
    <row r="28" spans="1:15" ht="15.75" customHeight="1" x14ac:dyDescent="0.15">
      <c r="A28" s="4" t="s">
        <v>1033</v>
      </c>
      <c r="G28" s="4">
        <v>1</v>
      </c>
    </row>
    <row r="29" spans="1:15" ht="15.75" customHeight="1" x14ac:dyDescent="0.15">
      <c r="A29" s="4" t="s">
        <v>1035</v>
      </c>
      <c r="B29" s="4"/>
      <c r="C29" s="4" t="s">
        <v>1036</v>
      </c>
      <c r="O29" s="4">
        <v>1</v>
      </c>
    </row>
    <row r="30" spans="1:15" ht="15.75" customHeight="1" x14ac:dyDescent="0.15">
      <c r="A30" s="4" t="s">
        <v>1039</v>
      </c>
      <c r="B30" s="4"/>
      <c r="C30" s="4" t="s">
        <v>1040</v>
      </c>
      <c r="O30" s="4">
        <v>1</v>
      </c>
    </row>
    <row r="31" spans="1:15" ht="15.75" customHeight="1" x14ac:dyDescent="0.15">
      <c r="A31" s="4" t="s">
        <v>1042</v>
      </c>
      <c r="D31" s="4"/>
      <c r="E31" s="4"/>
      <c r="F31" s="4"/>
      <c r="G31" s="4"/>
      <c r="H31" s="4"/>
      <c r="I31" s="4"/>
      <c r="J31" s="4"/>
      <c r="K31" s="4">
        <v>1</v>
      </c>
    </row>
    <row r="32" spans="1:15" ht="15.75" customHeight="1" x14ac:dyDescent="0.15">
      <c r="A32" s="4" t="s">
        <v>1045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>
        <v>1</v>
      </c>
    </row>
    <row r="33" spans="1:16" ht="15.75" customHeight="1" x14ac:dyDescent="0.15">
      <c r="A33" s="4" t="s">
        <v>1049</v>
      </c>
      <c r="D33" s="4"/>
      <c r="E33" s="4"/>
      <c r="F33" s="4"/>
      <c r="G33" s="4"/>
      <c r="H33" s="4"/>
      <c r="I33" s="4"/>
      <c r="J33" s="4"/>
      <c r="K33" s="4">
        <v>1</v>
      </c>
    </row>
    <row r="34" spans="1:16" ht="15.75" customHeight="1" x14ac:dyDescent="0.15">
      <c r="A34" s="4" t="s">
        <v>1052</v>
      </c>
      <c r="D34" s="4"/>
      <c r="E34" s="4"/>
      <c r="F34" s="4"/>
      <c r="G34" s="4"/>
      <c r="H34" s="4"/>
      <c r="I34" s="4">
        <v>1</v>
      </c>
    </row>
    <row r="35" spans="1:16" ht="15.75" customHeight="1" x14ac:dyDescent="0.15">
      <c r="A35" s="4" t="s">
        <v>1054</v>
      </c>
      <c r="D35" s="4"/>
      <c r="E35" s="4"/>
      <c r="F35" s="4"/>
      <c r="G35" s="4"/>
      <c r="H35" s="4"/>
      <c r="I35" s="4"/>
      <c r="J35" s="4">
        <v>1</v>
      </c>
      <c r="P35" s="4">
        <v>1</v>
      </c>
    </row>
    <row r="36" spans="1:16" ht="15.75" customHeight="1" x14ac:dyDescent="0.15">
      <c r="A36" s="4" t="s">
        <v>1057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>
        <v>1</v>
      </c>
    </row>
    <row r="37" spans="1:16" ht="15.75" customHeight="1" x14ac:dyDescent="0.15">
      <c r="A37" s="4" t="s">
        <v>1060</v>
      </c>
      <c r="D37" s="4"/>
      <c r="E37" s="4"/>
      <c r="F37" s="4"/>
      <c r="G37" s="4"/>
      <c r="H37" s="4"/>
      <c r="I37" s="4"/>
      <c r="J37" s="4"/>
      <c r="K37" s="4">
        <v>1</v>
      </c>
    </row>
    <row r="38" spans="1:16" ht="15.75" customHeight="1" x14ac:dyDescent="0.15">
      <c r="A38" s="4" t="s">
        <v>1063</v>
      </c>
      <c r="D38" s="4"/>
      <c r="E38" s="4">
        <v>1</v>
      </c>
    </row>
    <row r="39" spans="1:16" ht="15.75" customHeight="1" x14ac:dyDescent="0.15">
      <c r="A39" s="4" t="s">
        <v>1065</v>
      </c>
      <c r="D39" s="4"/>
      <c r="E39" s="4"/>
      <c r="F39" s="4"/>
      <c r="G39" s="4"/>
      <c r="H39" s="4"/>
      <c r="I39" s="4"/>
      <c r="J39" s="4">
        <v>1</v>
      </c>
      <c r="P39" s="4">
        <v>1</v>
      </c>
    </row>
    <row r="40" spans="1:16" ht="15.75" customHeight="1" x14ac:dyDescent="0.15">
      <c r="A40" s="4" t="s">
        <v>1067</v>
      </c>
      <c r="D40" s="4"/>
      <c r="E40" s="4"/>
      <c r="F40" s="4"/>
      <c r="G40" s="4"/>
      <c r="H40" s="4"/>
      <c r="I40" s="4">
        <v>1</v>
      </c>
    </row>
    <row r="41" spans="1:16" ht="15.75" customHeight="1" x14ac:dyDescent="0.15">
      <c r="A41" s="4" t="s">
        <v>1070</v>
      </c>
      <c r="D41" s="4"/>
      <c r="E41" s="4"/>
      <c r="F41" s="4"/>
      <c r="G41" s="4"/>
      <c r="H41" s="4"/>
      <c r="I41" s="4">
        <v>1</v>
      </c>
    </row>
    <row r="42" spans="1:16" ht="15.75" customHeight="1" x14ac:dyDescent="0.15">
      <c r="A42" s="4" t="s">
        <v>1072</v>
      </c>
      <c r="O42" s="4">
        <v>1</v>
      </c>
    </row>
    <row r="43" spans="1:16" ht="15.75" customHeight="1" x14ac:dyDescent="0.15">
      <c r="A43" s="4" t="s">
        <v>1074</v>
      </c>
      <c r="G43" s="4">
        <v>1</v>
      </c>
    </row>
    <row r="44" spans="1:16" ht="15.75" customHeight="1" x14ac:dyDescent="0.15">
      <c r="A44" s="4" t="s">
        <v>1076</v>
      </c>
      <c r="D44" s="4"/>
      <c r="E44" s="4"/>
      <c r="F44" s="4"/>
      <c r="G44" s="4"/>
      <c r="H44" s="4"/>
      <c r="I44" s="4">
        <v>1</v>
      </c>
    </row>
    <row r="45" spans="1:16" ht="15.75" customHeight="1" x14ac:dyDescent="0.15">
      <c r="A45" s="4" t="s">
        <v>1079</v>
      </c>
      <c r="D45" s="4"/>
      <c r="E45" s="4"/>
      <c r="F45" s="4"/>
      <c r="G45" s="4"/>
      <c r="H45" s="4"/>
      <c r="I45" s="4"/>
      <c r="J45" s="4">
        <v>1</v>
      </c>
    </row>
    <row r="46" spans="1:16" ht="15.75" customHeight="1" x14ac:dyDescent="0.15">
      <c r="A46" s="4" t="s">
        <v>1081</v>
      </c>
      <c r="D46" s="4"/>
      <c r="E46" s="4">
        <v>1</v>
      </c>
    </row>
    <row r="47" spans="1:16" ht="15.75" customHeight="1" x14ac:dyDescent="0.15">
      <c r="A47" s="4" t="s">
        <v>1084</v>
      </c>
      <c r="D47" s="4"/>
      <c r="E47" s="4"/>
      <c r="F47" s="4"/>
      <c r="G47" s="4"/>
      <c r="H47" s="4"/>
      <c r="I47" s="4">
        <v>1</v>
      </c>
    </row>
    <row r="48" spans="1:16" ht="15.75" customHeight="1" x14ac:dyDescent="0.15">
      <c r="A48" s="4" t="s">
        <v>1086</v>
      </c>
      <c r="P48" s="4">
        <v>1</v>
      </c>
    </row>
    <row r="49" spans="1:16" ht="15.75" customHeight="1" x14ac:dyDescent="0.15">
      <c r="A49" s="4" t="s">
        <v>1088</v>
      </c>
      <c r="F49" s="4">
        <v>1</v>
      </c>
    </row>
    <row r="50" spans="1:16" ht="15.75" customHeight="1" x14ac:dyDescent="0.15">
      <c r="A50" s="4" t="s">
        <v>1090</v>
      </c>
      <c r="D50" s="4"/>
      <c r="E50" s="4"/>
      <c r="F50" s="4"/>
      <c r="G50" s="4"/>
      <c r="H50" s="4"/>
      <c r="I50" s="4"/>
      <c r="J50" s="4">
        <v>1</v>
      </c>
    </row>
    <row r="51" spans="1:16" ht="15.75" customHeight="1" x14ac:dyDescent="0.15">
      <c r="A51" s="4" t="s">
        <v>1093</v>
      </c>
      <c r="D51" s="4"/>
      <c r="E51" s="4">
        <v>1</v>
      </c>
    </row>
    <row r="52" spans="1:16" ht="15.75" customHeight="1" x14ac:dyDescent="0.15">
      <c r="A52" s="4" t="s">
        <v>1095</v>
      </c>
      <c r="P52" s="4">
        <v>1</v>
      </c>
    </row>
    <row r="53" spans="1:16" ht="15.75" customHeight="1" x14ac:dyDescent="0.15">
      <c r="A53" s="4" t="s">
        <v>1097</v>
      </c>
      <c r="D53" s="4"/>
      <c r="E53" s="4"/>
      <c r="F53" s="4"/>
      <c r="G53" s="4"/>
      <c r="H53" s="4"/>
      <c r="I53" s="4"/>
      <c r="J53" s="4"/>
      <c r="K53" s="4"/>
      <c r="L53" s="4"/>
      <c r="M53" s="4">
        <v>1</v>
      </c>
    </row>
    <row r="54" spans="1:16" ht="15.75" customHeight="1" x14ac:dyDescent="0.15">
      <c r="A54" s="4" t="s">
        <v>1100</v>
      </c>
      <c r="H54" s="4">
        <v>1</v>
      </c>
      <c r="O54" s="4">
        <v>1</v>
      </c>
    </row>
    <row r="56" spans="1:16" ht="15.75" customHeight="1" x14ac:dyDescent="0.15">
      <c r="A56" s="4" t="s">
        <v>1102</v>
      </c>
      <c r="H56" s="4">
        <v>1</v>
      </c>
    </row>
    <row r="57" spans="1:16" ht="15.75" customHeight="1" x14ac:dyDescent="0.15">
      <c r="A57" s="4" t="s">
        <v>1104</v>
      </c>
      <c r="G57" s="4">
        <v>1</v>
      </c>
    </row>
    <row r="58" spans="1:16" ht="13" x14ac:dyDescent="0.15">
      <c r="A58" s="4" t="s">
        <v>1106</v>
      </c>
      <c r="D58" s="4">
        <v>1</v>
      </c>
    </row>
    <row r="59" spans="1:16" ht="13" x14ac:dyDescent="0.15">
      <c r="A59" s="4" t="s">
        <v>1108</v>
      </c>
      <c r="G59" s="4">
        <v>1</v>
      </c>
    </row>
    <row r="60" spans="1:16" ht="13" x14ac:dyDescent="0.15">
      <c r="A60" s="4" t="s">
        <v>1110</v>
      </c>
      <c r="D60" s="4">
        <v>1</v>
      </c>
    </row>
    <row r="61" spans="1:16" ht="13" x14ac:dyDescent="0.15">
      <c r="A61" s="4" t="s">
        <v>1112</v>
      </c>
      <c r="D61" s="4">
        <v>1</v>
      </c>
    </row>
    <row r="62" spans="1:16" ht="13" x14ac:dyDescent="0.15">
      <c r="A62" s="4" t="s">
        <v>1114</v>
      </c>
      <c r="D62" s="4"/>
      <c r="E62" s="4"/>
      <c r="F62" s="4"/>
      <c r="G62" s="4"/>
      <c r="H62" s="4"/>
      <c r="I62" s="4"/>
      <c r="J62" s="4"/>
      <c r="K62" s="4"/>
      <c r="L62" s="4"/>
      <c r="M62" s="4">
        <v>1</v>
      </c>
    </row>
    <row r="63" spans="1:16" ht="13" x14ac:dyDescent="0.15">
      <c r="A63" s="4" t="s">
        <v>1117</v>
      </c>
      <c r="B63" s="4"/>
      <c r="C63" s="4" t="s">
        <v>33</v>
      </c>
      <c r="D63" s="4"/>
      <c r="E63" s="4"/>
      <c r="F63" s="4"/>
      <c r="G63" s="4"/>
      <c r="H63" s="4"/>
      <c r="I63" s="4"/>
      <c r="J63" s="4">
        <v>1</v>
      </c>
    </row>
    <row r="64" spans="1:16" ht="13" x14ac:dyDescent="0.15">
      <c r="A64" s="4" t="s">
        <v>1120</v>
      </c>
      <c r="P64" s="4">
        <v>1</v>
      </c>
    </row>
    <row r="65" spans="1:16" ht="13" x14ac:dyDescent="0.15">
      <c r="A65" s="4" t="s">
        <v>1123</v>
      </c>
      <c r="G65" s="4">
        <v>1</v>
      </c>
    </row>
    <row r="66" spans="1:16" ht="13" x14ac:dyDescent="0.15">
      <c r="A66" s="4" t="s">
        <v>1125</v>
      </c>
      <c r="D66" s="4"/>
      <c r="E66" s="4"/>
      <c r="F66" s="4"/>
      <c r="G66" s="4"/>
      <c r="H66" s="4"/>
      <c r="I66" s="4"/>
      <c r="J66" s="4"/>
      <c r="K66" s="4"/>
      <c r="L66" s="4">
        <v>1</v>
      </c>
    </row>
    <row r="67" spans="1:16" ht="13" x14ac:dyDescent="0.15">
      <c r="A67" s="4" t="s">
        <v>1127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>
        <v>1</v>
      </c>
    </row>
    <row r="68" spans="1:16" ht="13" x14ac:dyDescent="0.15">
      <c r="A68" s="4" t="s">
        <v>1130</v>
      </c>
      <c r="D68" s="4"/>
      <c r="E68" s="4"/>
      <c r="F68" s="4"/>
      <c r="G68" s="4"/>
      <c r="H68" s="4"/>
      <c r="I68" s="4"/>
      <c r="J68" s="4"/>
      <c r="K68" s="4"/>
      <c r="L68" s="4">
        <v>1</v>
      </c>
    </row>
    <row r="69" spans="1:16" ht="13" x14ac:dyDescent="0.15">
      <c r="A69" s="4" t="s">
        <v>1132</v>
      </c>
      <c r="P69" s="4">
        <v>1</v>
      </c>
    </row>
    <row r="70" spans="1:16" ht="13" x14ac:dyDescent="0.15">
      <c r="A70" s="4" t="s">
        <v>1134</v>
      </c>
      <c r="D70" s="4"/>
      <c r="E70" s="4"/>
      <c r="F70" s="4"/>
      <c r="G70" s="4"/>
      <c r="H70" s="4"/>
      <c r="I70" s="4">
        <v>1</v>
      </c>
    </row>
    <row r="71" spans="1:16" ht="13" x14ac:dyDescent="0.15">
      <c r="A71" s="4" t="s">
        <v>1137</v>
      </c>
      <c r="D71" s="4"/>
      <c r="E71" s="4"/>
      <c r="F71" s="4"/>
      <c r="G71" s="4"/>
      <c r="H71" s="4"/>
      <c r="I71" s="4"/>
      <c r="J71" s="4">
        <v>1</v>
      </c>
    </row>
    <row r="72" spans="1:16" ht="13" x14ac:dyDescent="0.15">
      <c r="A72" s="4" t="s">
        <v>1139</v>
      </c>
      <c r="G72" s="4">
        <v>1</v>
      </c>
    </row>
    <row r="73" spans="1:16" ht="13" x14ac:dyDescent="0.15">
      <c r="A73" s="4" t="s">
        <v>1141</v>
      </c>
      <c r="D73" s="4"/>
      <c r="E73" s="4">
        <v>1</v>
      </c>
    </row>
    <row r="74" spans="1:16" ht="13" x14ac:dyDescent="0.15">
      <c r="A74" s="4" t="s">
        <v>1143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>
        <v>1</v>
      </c>
    </row>
    <row r="75" spans="1:16" ht="13" x14ac:dyDescent="0.15">
      <c r="A75" s="4" t="s">
        <v>1146</v>
      </c>
      <c r="G75" s="4">
        <v>1</v>
      </c>
    </row>
    <row r="76" spans="1:16" ht="13" x14ac:dyDescent="0.15">
      <c r="A76" s="4" t="s">
        <v>1149</v>
      </c>
      <c r="D76" s="4"/>
      <c r="E76" s="4"/>
      <c r="F76" s="4"/>
      <c r="G76" s="4"/>
      <c r="H76" s="4"/>
      <c r="I76" s="4">
        <v>1</v>
      </c>
    </row>
    <row r="77" spans="1:16" ht="13" x14ac:dyDescent="0.15">
      <c r="A77" s="4" t="s">
        <v>1152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>
        <v>1</v>
      </c>
    </row>
    <row r="78" spans="1:16" ht="13" x14ac:dyDescent="0.15">
      <c r="B78" s="4"/>
      <c r="C78" s="4" t="s">
        <v>1156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>
        <v>1</v>
      </c>
    </row>
    <row r="79" spans="1:16" ht="13" x14ac:dyDescent="0.15">
      <c r="B79" s="4"/>
      <c r="C79" s="4" t="s">
        <v>225</v>
      </c>
      <c r="D79" s="4"/>
      <c r="E79" s="4"/>
      <c r="F79" s="4"/>
      <c r="G79" s="4"/>
      <c r="H79" s="4"/>
      <c r="I79" s="4"/>
      <c r="J79" s="4"/>
      <c r="K79" s="4"/>
      <c r="L79" s="4">
        <v>1</v>
      </c>
    </row>
    <row r="80" spans="1:16" ht="13" x14ac:dyDescent="0.15">
      <c r="B80" s="4"/>
      <c r="C80" s="4" t="s">
        <v>1161</v>
      </c>
      <c r="D80" s="4"/>
      <c r="E80" s="4"/>
      <c r="F80" s="4"/>
      <c r="G80" s="4"/>
      <c r="H80" s="4"/>
      <c r="I80" s="4"/>
      <c r="J80" s="4"/>
      <c r="K80" s="4"/>
      <c r="L80" s="4">
        <v>1</v>
      </c>
    </row>
    <row r="81" spans="2:12" ht="13" x14ac:dyDescent="0.15">
      <c r="B81" s="4"/>
      <c r="C81" s="4" t="s">
        <v>943</v>
      </c>
      <c r="D81" s="4"/>
      <c r="E81" s="4"/>
      <c r="F81" s="4"/>
      <c r="G81" s="4"/>
      <c r="H81" s="4"/>
      <c r="I81" s="4"/>
      <c r="J81" s="4"/>
      <c r="K81" s="4"/>
      <c r="L81" s="4">
        <v>1</v>
      </c>
    </row>
    <row r="82" spans="2:12" ht="13" x14ac:dyDescent="0.15">
      <c r="B82" s="4"/>
      <c r="C82" s="4" t="s">
        <v>269</v>
      </c>
      <c r="D82" s="4"/>
      <c r="E82" s="4"/>
      <c r="F82" s="4"/>
      <c r="G82" s="4"/>
      <c r="H82" s="4"/>
      <c r="I82" s="4"/>
      <c r="J82" s="4"/>
      <c r="K82" s="4"/>
      <c r="L82" s="4">
        <v>1</v>
      </c>
    </row>
    <row r="83" spans="2:12" ht="13" x14ac:dyDescent="0.15">
      <c r="B83" s="4"/>
      <c r="C83" s="4" t="s">
        <v>1167</v>
      </c>
      <c r="D83" s="4"/>
      <c r="E83" s="4"/>
      <c r="F83" s="4"/>
      <c r="G83" s="4"/>
      <c r="H83" s="4"/>
      <c r="I83" s="4"/>
      <c r="J83" s="4"/>
      <c r="K83" s="4">
        <v>1</v>
      </c>
    </row>
    <row r="84" spans="2:12" ht="13" x14ac:dyDescent="0.15">
      <c r="B84" s="4"/>
      <c r="C84" s="4" t="s">
        <v>1170</v>
      </c>
      <c r="F84" s="4">
        <v>1</v>
      </c>
    </row>
  </sheetData>
  <conditionalFormatting sqref="D1:P999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2025 registratie</vt:lpstr>
      <vt:lpstr>Draaitabel 1</vt:lpstr>
      <vt:lpstr>Blad9</vt:lpstr>
      <vt:lpstr>Bronnen gecombineerd</vt:lpstr>
      <vt:lpstr>Bron Sela</vt:lpstr>
      <vt:lpstr>Bron Opwekking</vt:lpstr>
      <vt:lpstr>Bron TPP</vt:lpstr>
      <vt:lpstr>Bron SvG</vt:lpstr>
      <vt:lpstr>2022 - Top-lijstjes</vt:lpstr>
      <vt:lpstr>2022 - Liederen per dienst</vt:lpstr>
      <vt:lpstr>LijstBekendeLiederen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Geert van der Ploeg</cp:lastModifiedBy>
  <dcterms:modified xsi:type="dcterms:W3CDTF">2026-09-20T19:20:52Z</dcterms:modified>
</cp:coreProperties>
</file>